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hidePivotFieldList="1" defaultThemeVersion="124226"/>
  <xr:revisionPtr revIDLastSave="0" documentId="13_ncr:1_{18025D68-C5B2-4027-BAC9-245443CDCB10}" xr6:coauthVersionLast="47" xr6:coauthVersionMax="47" xr10:uidLastSave="{00000000-0000-0000-0000-000000000000}"/>
  <bookViews>
    <workbookView xWindow="20370" yWindow="-4815" windowWidth="29040" windowHeight="15840" xr2:uid="{00000000-000D-0000-FFFF-FFFF00000000}"/>
  </bookViews>
  <sheets>
    <sheet name="DashBoard" sheetId="7" r:id="rId1"/>
    <sheet name="DashBoardAux" sheetId="8" state="hidden" r:id="rId2"/>
    <sheet name="ReCarteira" sheetId="6" r:id="rId3"/>
    <sheet name="ReCarteiraAções" sheetId="9" r:id="rId4"/>
    <sheet name="ReCarteiraFII" sheetId="10" r:id="rId5"/>
    <sheet name="ReProventos" sheetId="12" r:id="rId6"/>
    <sheet name="ReAportes" sheetId="11" r:id="rId7"/>
    <sheet name="TbAportes" sheetId="2" r:id="rId8"/>
    <sheet name="TbProventos" sheetId="3" r:id="rId9"/>
    <sheet name="TbAtivos" sheetId="1" r:id="rId10"/>
  </sheet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0" l="1"/>
  <c r="D6" i="10"/>
  <c r="C6" i="10"/>
  <c r="F5" i="10"/>
  <c r="D5" i="10"/>
  <c r="C5" i="10"/>
  <c r="F4" i="10"/>
  <c r="D4" i="10"/>
  <c r="C4" i="10"/>
  <c r="F3" i="10"/>
  <c r="D3" i="10"/>
  <c r="C3" i="10"/>
  <c r="F7" i="9"/>
  <c r="D7" i="9"/>
  <c r="C7" i="9"/>
  <c r="F6" i="9"/>
  <c r="D6" i="9"/>
  <c r="C6" i="9"/>
  <c r="F5" i="9"/>
  <c r="D5" i="9"/>
  <c r="C5" i="9"/>
  <c r="F4" i="9"/>
  <c r="D4" i="9"/>
  <c r="C4" i="9"/>
  <c r="F3" i="9"/>
  <c r="D3" i="9"/>
  <c r="C3" i="9"/>
  <c r="H7" i="9" l="1"/>
  <c r="H3" i="10"/>
  <c r="H4" i="10"/>
  <c r="H5" i="10"/>
  <c r="H6" i="10"/>
  <c r="H3" i="9"/>
  <c r="H4" i="9"/>
  <c r="H5" i="9"/>
  <c r="H6" i="9"/>
  <c r="L5" i="8"/>
  <c r="C9" i="8"/>
  <c r="H1" i="7"/>
  <c r="F3" i="6"/>
  <c r="F4" i="6"/>
  <c r="F5" i="6"/>
  <c r="F6" i="6"/>
  <c r="F7" i="6"/>
  <c r="F8" i="6"/>
  <c r="F9" i="6"/>
  <c r="F10" i="6"/>
  <c r="F11" i="6"/>
  <c r="D3" i="6"/>
  <c r="D4" i="6"/>
  <c r="D5" i="6"/>
  <c r="D6" i="6"/>
  <c r="D7" i="6"/>
  <c r="D8" i="6"/>
  <c r="D9" i="6"/>
  <c r="D10" i="6"/>
  <c r="D11" i="6"/>
  <c r="C3" i="6"/>
  <c r="C4" i="6"/>
  <c r="C5" i="6"/>
  <c r="C6" i="6"/>
  <c r="C7" i="6"/>
  <c r="C8" i="6"/>
  <c r="C9" i="6"/>
  <c r="C10" i="6"/>
  <c r="C11" i="6"/>
  <c r="AD4" i="8" l="1"/>
  <c r="AE4" i="8" s="1"/>
  <c r="AD13" i="8"/>
  <c r="AE13" i="8" s="1"/>
  <c r="AD7" i="8"/>
  <c r="AE7" i="8" s="1"/>
  <c r="AD11" i="8"/>
  <c r="AE11" i="8" s="1"/>
  <c r="AD6" i="8"/>
  <c r="H8" i="6"/>
  <c r="H4" i="6"/>
  <c r="H7" i="10"/>
  <c r="AD5" i="8"/>
  <c r="AE5" i="8" s="1"/>
  <c r="AD10" i="8"/>
  <c r="AD12" i="8"/>
  <c r="AE12" i="8" s="1"/>
  <c r="AD8" i="8"/>
  <c r="AE8" i="8" s="1"/>
  <c r="AD9" i="8"/>
  <c r="AE9" i="8" s="1"/>
  <c r="AE10" i="8"/>
  <c r="AE6" i="8"/>
  <c r="Y5" i="8"/>
  <c r="Z5" i="8" s="1"/>
  <c r="Y9" i="8"/>
  <c r="Z9" i="8" s="1"/>
  <c r="Y13" i="8"/>
  <c r="Z13" i="8" s="1"/>
  <c r="Y6" i="8"/>
  <c r="Z6" i="8" s="1"/>
  <c r="Y10" i="8"/>
  <c r="Z10" i="8" s="1"/>
  <c r="Y8" i="8"/>
  <c r="Z8" i="8" s="1"/>
  <c r="Y7" i="8"/>
  <c r="Z7" i="8" s="1"/>
  <c r="Y11" i="8"/>
  <c r="Z11" i="8" s="1"/>
  <c r="Y12" i="8"/>
  <c r="Z12" i="8" s="1"/>
  <c r="Y4" i="8"/>
  <c r="Z4" i="8" s="1"/>
  <c r="H8" i="9"/>
  <c r="H11" i="6"/>
  <c r="H7" i="6"/>
  <c r="H3" i="6"/>
  <c r="H10" i="6"/>
  <c r="H6" i="6"/>
  <c r="H9" i="6"/>
  <c r="H5" i="6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H3" i="2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AC12" i="8" l="1"/>
  <c r="AC8" i="8"/>
  <c r="AC4" i="8"/>
  <c r="AC13" i="8"/>
  <c r="AC9" i="8"/>
  <c r="AC5" i="8"/>
  <c r="AC10" i="8"/>
  <c r="AC6" i="8"/>
  <c r="AC11" i="8"/>
  <c r="AC7" i="8"/>
  <c r="X12" i="8"/>
  <c r="X8" i="8"/>
  <c r="X13" i="8"/>
  <c r="X10" i="8"/>
  <c r="X6" i="8"/>
  <c r="X4" i="8"/>
  <c r="X5" i="8"/>
  <c r="X11" i="8"/>
  <c r="X7" i="8"/>
  <c r="X9" i="8"/>
  <c r="T12" i="8"/>
  <c r="T4" i="8"/>
  <c r="T5" i="8"/>
  <c r="T9" i="8"/>
  <c r="T13" i="8"/>
  <c r="T8" i="8"/>
  <c r="T6" i="8"/>
  <c r="T10" i="8"/>
  <c r="T7" i="8"/>
  <c r="T11" i="8"/>
  <c r="I6" i="8"/>
  <c r="L4" i="8" s="1"/>
  <c r="H6" i="8"/>
  <c r="L3" i="8" s="1"/>
  <c r="G6" i="8"/>
  <c r="H12" i="6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I3" i="2"/>
  <c r="K3" i="2" s="1"/>
  <c r="I4" i="2"/>
  <c r="K4" i="2" s="1"/>
  <c r="I5" i="2"/>
  <c r="K5" i="2" s="1"/>
  <c r="I6" i="2"/>
  <c r="K6" i="2" s="1"/>
  <c r="I7" i="2"/>
  <c r="K7" i="2" s="1"/>
  <c r="I8" i="2"/>
  <c r="K8" i="2" s="1"/>
  <c r="I9" i="2"/>
  <c r="K9" i="2" s="1"/>
  <c r="I10" i="2"/>
  <c r="K10" i="2" s="1"/>
  <c r="I11" i="2"/>
  <c r="K11" i="2" s="1"/>
  <c r="I12" i="2"/>
  <c r="K12" i="2" s="1"/>
  <c r="I13" i="2"/>
  <c r="K13" i="2" s="1"/>
  <c r="I14" i="2"/>
  <c r="K14" i="2" s="1"/>
  <c r="I15" i="2"/>
  <c r="K15" i="2" s="1"/>
  <c r="I16" i="2"/>
  <c r="K16" i="2" s="1"/>
  <c r="I17" i="2"/>
  <c r="K17" i="2" s="1"/>
  <c r="I18" i="2"/>
  <c r="K18" i="2" s="1"/>
  <c r="I19" i="2"/>
  <c r="K19" i="2" s="1"/>
  <c r="I20" i="2"/>
  <c r="K20" i="2" s="1"/>
  <c r="I21" i="2"/>
  <c r="K21" i="2" s="1"/>
  <c r="I22" i="2"/>
  <c r="K22" i="2" s="1"/>
  <c r="I23" i="2"/>
  <c r="K23" i="2" s="1"/>
  <c r="I24" i="2"/>
  <c r="K24" i="2" s="1"/>
  <c r="I25" i="2"/>
  <c r="K25" i="2" s="1"/>
  <c r="I26" i="2"/>
  <c r="K26" i="2" s="1"/>
  <c r="I27" i="2"/>
  <c r="K27" i="2" s="1"/>
  <c r="I28" i="2"/>
  <c r="K28" i="2" s="1"/>
  <c r="I29" i="2"/>
  <c r="K29" i="2" s="1"/>
  <c r="I30" i="2"/>
  <c r="K30" i="2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E6" i="10" l="1"/>
  <c r="E10" i="6"/>
  <c r="E5" i="10"/>
  <c r="E9" i="6"/>
  <c r="E3" i="9"/>
  <c r="E3" i="6"/>
  <c r="E7" i="9"/>
  <c r="E11" i="6"/>
  <c r="E4" i="10"/>
  <c r="E8" i="6"/>
  <c r="E5" i="9"/>
  <c r="E5" i="6"/>
  <c r="E3" i="10"/>
  <c r="E7" i="6"/>
  <c r="E4" i="9"/>
  <c r="E4" i="6"/>
  <c r="E6" i="9"/>
  <c r="E6" i="6"/>
  <c r="U11" i="8"/>
  <c r="S11" i="8" s="1"/>
  <c r="O11" i="8" s="1"/>
  <c r="P11" i="8"/>
  <c r="U8" i="8"/>
  <c r="S8" i="8" s="1"/>
  <c r="O8" i="8" s="1"/>
  <c r="P8" i="8"/>
  <c r="U4" i="8"/>
  <c r="S4" i="8" s="1"/>
  <c r="O4" i="8" s="1"/>
  <c r="P4" i="8"/>
  <c r="U5" i="8"/>
  <c r="S5" i="8" s="1"/>
  <c r="O5" i="8" s="1"/>
  <c r="P5" i="8"/>
  <c r="U7" i="8"/>
  <c r="S7" i="8" s="1"/>
  <c r="P7" i="8"/>
  <c r="U13" i="8"/>
  <c r="S13" i="8" s="1"/>
  <c r="O13" i="8" s="1"/>
  <c r="P13" i="8"/>
  <c r="U12" i="8"/>
  <c r="S12" i="8" s="1"/>
  <c r="O12" i="8" s="1"/>
  <c r="P12" i="8"/>
  <c r="U6" i="8"/>
  <c r="S6" i="8" s="1"/>
  <c r="O6" i="8" s="1"/>
  <c r="P6" i="8"/>
  <c r="U10" i="8"/>
  <c r="S10" i="8" s="1"/>
  <c r="O10" i="8" s="1"/>
  <c r="P10" i="8"/>
  <c r="U9" i="8"/>
  <c r="S9" i="8" s="1"/>
  <c r="O9" i="8" s="1"/>
  <c r="P9" i="8"/>
  <c r="O7" i="8"/>
  <c r="C13" i="8"/>
  <c r="B5" i="7" s="1"/>
  <c r="G4" i="9" l="1"/>
  <c r="J4" i="9"/>
  <c r="I4" i="9"/>
  <c r="G5" i="9"/>
  <c r="I5" i="9"/>
  <c r="J5" i="9"/>
  <c r="G11" i="6"/>
  <c r="I11" i="6"/>
  <c r="J11" i="6"/>
  <c r="G9" i="6"/>
  <c r="J9" i="6"/>
  <c r="I9" i="6"/>
  <c r="G6" i="6"/>
  <c r="J6" i="6"/>
  <c r="I6" i="6"/>
  <c r="I5" i="8"/>
  <c r="G7" i="6"/>
  <c r="I7" i="6"/>
  <c r="J7" i="6"/>
  <c r="G7" i="9"/>
  <c r="I7" i="9"/>
  <c r="J7" i="9"/>
  <c r="G5" i="10"/>
  <c r="I5" i="10"/>
  <c r="J5" i="10"/>
  <c r="G6" i="9"/>
  <c r="J6" i="9"/>
  <c r="I6" i="9"/>
  <c r="E7" i="10"/>
  <c r="G3" i="10"/>
  <c r="I3" i="10"/>
  <c r="J3" i="10"/>
  <c r="G8" i="6"/>
  <c r="J8" i="6"/>
  <c r="I8" i="6"/>
  <c r="G5" i="8"/>
  <c r="H5" i="8"/>
  <c r="G3" i="6"/>
  <c r="E12" i="6"/>
  <c r="J3" i="6"/>
  <c r="I3" i="6"/>
  <c r="G10" i="6"/>
  <c r="J10" i="6"/>
  <c r="I10" i="6"/>
  <c r="J4" i="6"/>
  <c r="G4" i="6"/>
  <c r="I4" i="6"/>
  <c r="G5" i="6"/>
  <c r="J5" i="6"/>
  <c r="I5" i="6"/>
  <c r="G4" i="10"/>
  <c r="I4" i="10"/>
  <c r="J4" i="10"/>
  <c r="G3" i="9"/>
  <c r="E8" i="9"/>
  <c r="J3" i="9"/>
  <c r="I3" i="9"/>
  <c r="G6" i="10"/>
  <c r="I6" i="10"/>
  <c r="J6" i="10"/>
  <c r="AD25" i="8" l="1"/>
  <c r="AE25" i="8" s="1"/>
  <c r="AC25" i="8" s="1"/>
  <c r="AD23" i="8"/>
  <c r="AE23" i="8" s="1"/>
  <c r="AC23" i="8" s="1"/>
  <c r="AD20" i="8"/>
  <c r="AE20" i="8" s="1"/>
  <c r="AC20" i="8" s="1"/>
  <c r="AD22" i="8"/>
  <c r="AE22" i="8" s="1"/>
  <c r="AC22" i="8" s="1"/>
  <c r="AD18" i="8"/>
  <c r="AE18" i="8" s="1"/>
  <c r="AC18" i="8" s="1"/>
  <c r="AD17" i="8"/>
  <c r="AE17" i="8" s="1"/>
  <c r="AC17" i="8" s="1"/>
  <c r="AD24" i="8"/>
  <c r="AE24" i="8" s="1"/>
  <c r="AC24" i="8" s="1"/>
  <c r="AD21" i="8"/>
  <c r="AE21" i="8" s="1"/>
  <c r="AC21" i="8" s="1"/>
  <c r="AD19" i="8"/>
  <c r="AE19" i="8" s="1"/>
  <c r="AC19" i="8" s="1"/>
  <c r="I7" i="10"/>
  <c r="Y26" i="8"/>
  <c r="Z26" i="8" s="1"/>
  <c r="X26" i="8" s="1"/>
  <c r="Y20" i="8"/>
  <c r="Z20" i="8" s="1"/>
  <c r="X20" i="8" s="1"/>
  <c r="Y25" i="8"/>
  <c r="Z25" i="8" s="1"/>
  <c r="X25" i="8" s="1"/>
  <c r="Y24" i="8"/>
  <c r="Z24" i="8" s="1"/>
  <c r="X24" i="8" s="1"/>
  <c r="Y18" i="8"/>
  <c r="Z18" i="8" s="1"/>
  <c r="X18" i="8" s="1"/>
  <c r="Y19" i="8"/>
  <c r="Z19" i="8" s="1"/>
  <c r="X19" i="8" s="1"/>
  <c r="Y21" i="8"/>
  <c r="Z21" i="8" s="1"/>
  <c r="X21" i="8" s="1"/>
  <c r="Y22" i="8"/>
  <c r="Z22" i="8" s="1"/>
  <c r="X22" i="8" s="1"/>
  <c r="Y23" i="8"/>
  <c r="Z23" i="8" s="1"/>
  <c r="X23" i="8" s="1"/>
  <c r="Y17" i="8"/>
  <c r="Z17" i="8" s="1"/>
  <c r="X17" i="8" s="1"/>
  <c r="T19" i="8"/>
  <c r="T24" i="8"/>
  <c r="T18" i="8"/>
  <c r="T23" i="8"/>
  <c r="T22" i="8"/>
  <c r="T25" i="8"/>
  <c r="T17" i="8"/>
  <c r="T26" i="8"/>
  <c r="T20" i="8"/>
  <c r="T21" i="8"/>
  <c r="C12" i="8"/>
  <c r="B8" i="7" s="1"/>
  <c r="G8" i="8"/>
  <c r="C15" i="8" s="1"/>
  <c r="B14" i="7" s="1"/>
  <c r="I7" i="8"/>
  <c r="I8" i="8"/>
  <c r="I8" i="9"/>
  <c r="G7" i="8"/>
  <c r="C14" i="8" s="1"/>
  <c r="B11" i="7" s="1"/>
  <c r="I12" i="6"/>
  <c r="H8" i="8"/>
  <c r="H7" i="8"/>
  <c r="AD26" i="8"/>
  <c r="AE26" i="8" s="1"/>
  <c r="AC26" i="8" s="1"/>
  <c r="P25" i="8" l="1"/>
  <c r="U25" i="8"/>
  <c r="S25" i="8" s="1"/>
  <c r="O25" i="8" s="1"/>
  <c r="P26" i="8"/>
  <c r="U26" i="8"/>
  <c r="S26" i="8" s="1"/>
  <c r="O26" i="8" s="1"/>
  <c r="P23" i="8"/>
  <c r="U23" i="8"/>
  <c r="S23" i="8" s="1"/>
  <c r="O23" i="8" s="1"/>
  <c r="P17" i="8"/>
  <c r="U17" i="8"/>
  <c r="S17" i="8" s="1"/>
  <c r="O17" i="8" s="1"/>
  <c r="P18" i="8"/>
  <c r="U18" i="8"/>
  <c r="S18" i="8" s="1"/>
  <c r="O18" i="8" s="1"/>
  <c r="P21" i="8"/>
  <c r="U21" i="8"/>
  <c r="S21" i="8" s="1"/>
  <c r="O21" i="8" s="1"/>
  <c r="P24" i="8"/>
  <c r="U24" i="8"/>
  <c r="S24" i="8" s="1"/>
  <c r="O24" i="8" s="1"/>
  <c r="P20" i="8"/>
  <c r="U20" i="8"/>
  <c r="S20" i="8" s="1"/>
  <c r="O20" i="8" s="1"/>
  <c r="P22" i="8"/>
  <c r="U22" i="8"/>
  <c r="S22" i="8" s="1"/>
  <c r="O22" i="8" s="1"/>
  <c r="P19" i="8"/>
  <c r="U19" i="8"/>
  <c r="S19" i="8" s="1"/>
  <c r="O1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M2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Deixe em branco para data de hoje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M2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Deixe em branco para data de hoje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M2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Deixe em branco para data de hoje</t>
        </r>
      </text>
    </comment>
  </commentList>
</comments>
</file>

<file path=xl/sharedStrings.xml><?xml version="1.0" encoding="utf-8"?>
<sst xmlns="http://schemas.openxmlformats.org/spreadsheetml/2006/main" count="318" uniqueCount="83">
  <si>
    <t>Planilha sem tÃ­tulo : PÃ¡gina1</t>
  </si>
  <si>
    <t>ATIVO</t>
  </si>
  <si>
    <t>TIPO</t>
  </si>
  <si>
    <t>COTACAO</t>
  </si>
  <si>
    <t>CSNA3</t>
  </si>
  <si>
    <t>EMPRESA</t>
  </si>
  <si>
    <t>FLRY3</t>
  </si>
  <si>
    <t>ITSA4</t>
  </si>
  <si>
    <t>PETR4</t>
  </si>
  <si>
    <t>HGBS11</t>
  </si>
  <si>
    <t>FII</t>
  </si>
  <si>
    <t>HGLG11</t>
  </si>
  <si>
    <t>HGRE11</t>
  </si>
  <si>
    <t>KNRI11</t>
  </si>
  <si>
    <t>Published by Google Sheets–Denunciar abuso–5Atualizado automaticamente a cada minutos</t>
  </si>
  <si>
    <t>TAEE4</t>
  </si>
  <si>
    <t>Data</t>
  </si>
  <si>
    <t>Ativo</t>
  </si>
  <si>
    <t>Qte</t>
  </si>
  <si>
    <t>Valor unitário</t>
  </si>
  <si>
    <t>Custo</t>
  </si>
  <si>
    <t>Total</t>
  </si>
  <si>
    <t>Tipo</t>
  </si>
  <si>
    <t>Ano</t>
  </si>
  <si>
    <t>Mês</t>
  </si>
  <si>
    <t>Ano/Mês</t>
  </si>
  <si>
    <t>Cod</t>
  </si>
  <si>
    <t>Valor Bruto</t>
  </si>
  <si>
    <t>IR</t>
  </si>
  <si>
    <t>Valor Líquido</t>
  </si>
  <si>
    <t>HGBS12</t>
  </si>
  <si>
    <t>Rótulos de Linha</t>
  </si>
  <si>
    <t>Total Geral</t>
  </si>
  <si>
    <t>Rótulos de Coluna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</si>
  <si>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</si>
  <si>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</si>
  <si>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</si>
  <si>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</si>
  <si>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</si>
  <si>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</si>
  <si>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</si>
  <si>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</si>
  <si>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</si>
  <si>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</si>
  <si>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</si>
  <si>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</si>
  <si>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</si>
  <si>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</si>
  <si>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Soma de Total</t>
  </si>
  <si>
    <t>Soma de Valor Líquido</t>
  </si>
  <si>
    <t>Cotação</t>
  </si>
  <si>
    <t>Total aportado</t>
  </si>
  <si>
    <t>Total qte</t>
  </si>
  <si>
    <t>PM</t>
  </si>
  <si>
    <t>Total atual</t>
  </si>
  <si>
    <t>Valorização</t>
  </si>
  <si>
    <t>Valorização %</t>
  </si>
  <si>
    <t>Até qual data?</t>
  </si>
  <si>
    <t>Carteira atual</t>
  </si>
  <si>
    <t>Caixa:</t>
  </si>
  <si>
    <t>Até</t>
  </si>
  <si>
    <t>Valores para caixa de combinaçao</t>
  </si>
  <si>
    <t>Tudo</t>
  </si>
  <si>
    <t>Ações</t>
  </si>
  <si>
    <t>Fundos Imobiliários</t>
  </si>
  <si>
    <t>Entradas do usuário</t>
  </si>
  <si>
    <t>Caixa de combinação</t>
  </si>
  <si>
    <t>Valor em caixa</t>
  </si>
  <si>
    <t>Matriz auxiliar: somatório por tipo de ativo</t>
  </si>
  <si>
    <t>Indicadores-chave de desempenho (KPI)</t>
  </si>
  <si>
    <t>Gráfico: composição do patrimônio</t>
  </si>
  <si>
    <t>Caixa</t>
  </si>
  <si>
    <t>Gráfico: maiores valores</t>
  </si>
  <si>
    <t>Ordem</t>
  </si>
  <si>
    <t>Valor</t>
  </si>
  <si>
    <t>Maiores valores (tudo)</t>
  </si>
  <si>
    <t>Corresp</t>
  </si>
  <si>
    <t>Maiores valores (ações)</t>
  </si>
  <si>
    <t>Maiores valores (FII)</t>
  </si>
  <si>
    <t>Gráfico: maiores valorizações</t>
  </si>
  <si>
    <t>Maiores valorizações (tudo)</t>
  </si>
  <si>
    <t>Maiores valorizações (ações)</t>
  </si>
  <si>
    <t>Maiores valorizações (FII)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</si>
</sst>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_-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6"/>
      <color theme="1" tint="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medium">
        <color theme="3" tint="0.59996337778862885"/>
      </bottom>
      <diagonal/>
    </border>
    <border>
      <left/>
      <right/>
      <top/>
      <bottom style="medium">
        <color theme="3" tint="0.59996337778862885"/>
      </bottom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2" fillId="2" borderId="1" xfId="0" applyFont="1" applyFill="1" applyBorder="1"/>
    <xf numFmtId="14" fontId="0" fillId="3" borderId="1" xfId="0" applyNumberFormat="1" applyFill="1" applyBorder="1"/>
    <xf numFmtId="164" fontId="0" fillId="0" borderId="0" xfId="0" applyNumberFormat="1"/>
    <xf numFmtId="165" fontId="0" fillId="0" borderId="0" xfId="0" applyNumberFormat="1"/>
    <xf numFmtId="0" fontId="0" fillId="4" borderId="0" xfId="0" applyFill="1"/>
    <xf numFmtId="0" fontId="0" fillId="4" borderId="3" xfId="0" applyFill="1" applyBorder="1"/>
    <xf numFmtId="0" fontId="0" fillId="4" borderId="0" xfId="0" applyFill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14" fontId="6" fillId="4" borderId="0" xfId="0" applyNumberFormat="1" applyFont="1" applyFill="1" applyAlignment="1">
      <alignment horizontal="right" vertical="center"/>
    </xf>
    <xf numFmtId="165" fontId="6" fillId="4" borderId="2" xfId="0" applyNumberFormat="1" applyFont="1" applyFill="1" applyBorder="1" applyAlignment="1">
      <alignment horizontal="center" vertical="center"/>
    </xf>
    <xf numFmtId="0" fontId="8" fillId="0" borderId="0" xfId="0" applyFont="1"/>
    <xf numFmtId="0" fontId="0" fillId="6" borderId="0" xfId="0" applyFill="1"/>
    <xf numFmtId="0" fontId="0" fillId="7" borderId="0" xfId="0" applyFill="1"/>
    <xf numFmtId="0" fontId="3" fillId="8" borderId="0" xfId="0" applyFont="1" applyFill="1"/>
    <xf numFmtId="2" fontId="0" fillId="6" borderId="0" xfId="0" applyNumberFormat="1" applyFill="1"/>
    <xf numFmtId="164" fontId="0" fillId="6" borderId="0" xfId="0" applyNumberFormat="1" applyFill="1"/>
    <xf numFmtId="165" fontId="0" fillId="6" borderId="0" xfId="0" applyNumberFormat="1" applyFill="1"/>
    <xf numFmtId="0" fontId="3" fillId="7" borderId="0" xfId="0" applyFont="1" applyFill="1"/>
    <xf numFmtId="0" fontId="7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4" fontId="6" fillId="4" borderId="2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10" fontId="0" fillId="6" borderId="0" xfId="0" applyNumberFormat="1" applyFill="1"/>
    <xf numFmtId="164" fontId="0" fillId="5" borderId="4" xfId="0" applyNumberFormat="1" applyFill="1" applyBorder="1" applyAlignment="1" applyProtection="1">
      <alignment vertical="center"/>
      <protection locked="0"/>
    </xf>
    <xf numFmtId="164" fontId="9" fillId="0" borderId="0" xfId="0" applyNumberFormat="1" applyFont="1" applyAlignment="1">
      <alignment vertical="center"/>
    </xf>
  </cellXfs>
  <cellStyles count="1">
    <cellStyle name="Normal" xfId="0" builtinId="0"/>
  </cellStyles>
  <dxfs count="5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numFmt numFmtId="164" formatCode="_-&quot;R$&quot;* #,##0.00_-;\-&quot;R$&quot;* #,##0.00_-;_-&quot;R$&quot;* &quot;-&quot;??_-;_-@_-"/>
      <alignment horizontal="general" vertical="center" textRotation="0" wrapText="0" indent="0" justifyLastLine="0" shrinkToFit="0" readingOrder="0"/>
    </dxf>
    <dxf>
      <numFmt numFmtId="164" formatCode="_-&quot;R$&quot;* #,##0.00_-;\-&quot;R$&quot;* #,##0.00_-;_-&quot;R$&quot;* &quot;-&quot;??_-;_-@_-"/>
      <alignment horizontal="general" vertical="center" textRotation="0" wrapText="0" indent="0" justifyLastLine="0" shrinkToFit="0" readingOrder="0"/>
    </dxf>
    <dxf>
      <numFmt numFmtId="164" formatCode="_-&quot;R$&quot;* #,##0.00_-;\-&quot;R$&quot;* #,##0.00_-;_-&quot;R$&quot;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&quot;R$&quot;* #,##0.00_-;\-&quot;R$&quot;* #,##0.00_-;_-&quot;R$&quot;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scheme val="minor"/>
      </font>
      <numFmt numFmtId="164" formatCode="_-&quot;R$&quot;* #,##0.00_-;\-&quot;R$&quot;* #,##0.00_-;_-&quot;R$&quot;* &quot;-&quot;??_-;_-@_-"/>
      <alignment horizontal="general" vertical="center" textRotation="0" wrapText="0" indent="0" justifyLastLine="0" shrinkToFit="0" readingOrder="0"/>
    </dxf>
    <dxf>
      <numFmt numFmtId="164" formatCode="_-&quot;R$&quot;* #,##0.00_-;\-&quot;R$&quot;* #,##0.00_-;_-&quot;R$&quot;* &quot;-&quot;??_-;_-@_-"/>
      <alignment horizontal="general" vertical="center" textRotation="0" wrapText="0" indent="0" justifyLastLine="0" shrinkToFit="0" readingOrder="0"/>
    </dxf>
    <dxf>
      <numFmt numFmtId="164" formatCode="_-&quot;R$&quot;* #,##0.00_-;\-&quot;R$&quot;* #,##0.00_-;_-&quot;R$&quot;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%"/>
    </dxf>
    <dxf>
      <numFmt numFmtId="165" formatCode="0.0%"/>
    </dxf>
    <dxf>
      <numFmt numFmtId="164" formatCode="_-&quot;R$&quot;* #,##0.00_-;\-&quot;R$&quot;* #,##0.00_-;_-&quot;R$&quot;* &quot;-&quot;??_-;_-@_-"/>
    </dxf>
    <dxf>
      <numFmt numFmtId="164" formatCode="_-&quot;R$&quot;* #,##0.00_-;\-&quot;R$&quot;* #,##0.00_-;_-&quot;R$&quot;* &quot;-&quot;??_-;_-@_-"/>
    </dxf>
    <dxf>
      <numFmt numFmtId="164" formatCode="_-&quot;R$&quot;* #,##0.00_-;\-&quot;R$&quot;* #,##0.00_-;_-&quot;R$&quot;* &quot;-&quot;??_-;_-@_-"/>
    </dxf>
    <dxf>
      <numFmt numFmtId="0" formatCode="General"/>
    </dxf>
    <dxf>
      <numFmt numFmtId="164" formatCode="_-&quot;R$&quot;* #,##0.00_-;\-&quot;R$&quot;* #,##0.00_-;_-&quot;R$&quot;* &quot;-&quot;??_-;_-@_-"/>
    </dxf>
    <dxf>
      <numFmt numFmtId="0" formatCode="General"/>
    </dxf>
    <dxf>
      <numFmt numFmtId="0" formatCode="General"/>
    </dxf>
    <dxf>
      <numFmt numFmtId="165" formatCode="0.0%"/>
    </dxf>
    <dxf>
      <numFmt numFmtId="165" formatCode="0.0%"/>
    </dxf>
    <dxf>
      <numFmt numFmtId="164" formatCode="_-&quot;R$&quot;* #,##0.00_-;\-&quot;R$&quot;* #,##0.00_-;_-&quot;R$&quot;* &quot;-&quot;??_-;_-@_-"/>
    </dxf>
    <dxf>
      <numFmt numFmtId="164" formatCode="_-&quot;R$&quot;* #,##0.00_-;\-&quot;R$&quot;* #,##0.00_-;_-&quot;R$&quot;* &quot;-&quot;??_-;_-@_-"/>
    </dxf>
    <dxf>
      <numFmt numFmtId="164" formatCode="_-&quot;R$&quot;* #,##0.00_-;\-&quot;R$&quot;* #,##0.00_-;_-&quot;R$&quot;* &quot;-&quot;??_-;_-@_-"/>
    </dxf>
    <dxf>
      <numFmt numFmtId="0" formatCode="General"/>
    </dxf>
    <dxf>
      <numFmt numFmtId="164" formatCode="_-&quot;R$&quot;* #,##0.00_-;\-&quot;R$&quot;* #,##0.00_-;_-&quot;R$&quot;* &quot;-&quot;??_-;_-@_-"/>
    </dxf>
    <dxf>
      <numFmt numFmtId="0" formatCode="General"/>
    </dxf>
    <dxf>
      <numFmt numFmtId="0" formatCode="General"/>
    </dxf>
    <dxf>
      <numFmt numFmtId="165" formatCode="0.0%"/>
    </dxf>
    <dxf>
      <numFmt numFmtId="165" formatCode="0.0%"/>
    </dxf>
    <dxf>
      <numFmt numFmtId="164" formatCode="_-&quot;R$&quot;* #,##0.00_-;\-&quot;R$&quot;* #,##0.00_-;_-&quot;R$&quot;* &quot;-&quot;??_-;_-@_-"/>
    </dxf>
    <dxf>
      <numFmt numFmtId="164" formatCode="_-&quot;R$&quot;* #,##0.00_-;\-&quot;R$&quot;* #,##0.00_-;_-&quot;R$&quot;* &quot;-&quot;??_-;_-@_-"/>
    </dxf>
    <dxf>
      <numFmt numFmtId="164" formatCode="_-&quot;R$&quot;* #,##0.00_-;\-&quot;R$&quot;* #,##0.00_-;_-&quot;R$&quot;* &quot;-&quot;??_-;_-@_-"/>
    </dxf>
    <dxf>
      <numFmt numFmtId="0" formatCode="General"/>
    </dxf>
    <dxf>
      <numFmt numFmtId="164" formatCode="_-&quot;R$&quot;* #,##0.00_-;\-&quot;R$&quot;* #,##0.00_-;_-&quot;R$&quot;* &quot;-&quot;??_-;_-@_-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Composição</a:t>
            </a:r>
            <a:r>
              <a:rPr lang="pt-BR" sz="1600" b="1" baseline="0"/>
              <a:t> do patrimônio</a:t>
            </a:r>
            <a:endParaRPr lang="pt-BR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26-40A5-9123-0B2203496D2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26-40A5-9123-0B2203496D26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26-40A5-9123-0B2203496D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DashBoardAux!$K$3:$K$5</c:f>
              <c:strCache>
                <c:ptCount val="3"/>
                <c:pt idx="0">
                  <c:v>Ações</c:v>
                </c:pt>
                <c:pt idx="1">
                  <c:v>FII</c:v>
                </c:pt>
                <c:pt idx="2">
                  <c:v>Caixa</c:v>
                </c:pt>
              </c:strCache>
            </c:strRef>
          </c:cat>
          <c:val>
            <c:numRef>
              <c:f>DashBoardAux!$L$3:$L$5</c:f>
              <c:numCache>
                <c:formatCode>_-"R$"* #,##0.00_-;\-"R$"* #,##0.00_-;_-"R$"* "-"??_-;_-@_-</c:formatCode>
                <c:ptCount val="3"/>
                <c:pt idx="0">
                  <c:v>17506</c:v>
                </c:pt>
                <c:pt idx="1">
                  <c:v>10332.049999999999</c:v>
                </c:pt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26-40A5-9123-0B2203496D2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Maiores</a:t>
            </a:r>
            <a:r>
              <a:rPr lang="pt-BR" sz="1600" b="1" baseline="0"/>
              <a:t> valores atuais</a:t>
            </a:r>
            <a:endParaRPr lang="pt-BR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DashBoardAux!$O$4:$O$13</c:f>
              <c:strCache>
                <c:ptCount val="10"/>
                <c:pt idx="0">
                  <c:v>-</c:v>
                </c:pt>
                <c:pt idx="1">
                  <c:v>HGBS11</c:v>
                </c:pt>
                <c:pt idx="2">
                  <c:v>TAEE4</c:v>
                </c:pt>
                <c:pt idx="3">
                  <c:v>CSNA3</c:v>
                </c:pt>
                <c:pt idx="4">
                  <c:v>ITSA4</c:v>
                </c:pt>
                <c:pt idx="5">
                  <c:v>HGRE11</c:v>
                </c:pt>
                <c:pt idx="6">
                  <c:v>KNRI11</c:v>
                </c:pt>
                <c:pt idx="7">
                  <c:v>HGLG11</c:v>
                </c:pt>
                <c:pt idx="8">
                  <c:v>FLRY3</c:v>
                </c:pt>
                <c:pt idx="9">
                  <c:v>PETR4</c:v>
                </c:pt>
              </c:strCache>
            </c:strRef>
          </c:cat>
          <c:val>
            <c:numRef>
              <c:f>DashBoardAux!$P$4:$P$13</c:f>
              <c:numCache>
                <c:formatCode>General</c:formatCode>
                <c:ptCount val="10"/>
                <c:pt idx="0">
                  <c:v>0</c:v>
                </c:pt>
                <c:pt idx="1">
                  <c:v>1754.82</c:v>
                </c:pt>
                <c:pt idx="2">
                  <c:v>1810.0000000000002</c:v>
                </c:pt>
                <c:pt idx="3">
                  <c:v>2364</c:v>
                </c:pt>
                <c:pt idx="4">
                  <c:v>2442</c:v>
                </c:pt>
                <c:pt idx="5">
                  <c:v>2696.86</c:v>
                </c:pt>
                <c:pt idx="6">
                  <c:v>2914.38</c:v>
                </c:pt>
                <c:pt idx="7">
                  <c:v>2965.99</c:v>
                </c:pt>
                <c:pt idx="8">
                  <c:v>4029.9999999999995</c:v>
                </c:pt>
                <c:pt idx="9">
                  <c:v>6859.9999999999991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1-470C-8736-E91548C209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447792984"/>
        <c:axId val="447793376"/>
      </c:barChart>
      <c:catAx>
        <c:axId val="447792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793376"/>
        <c:crosses val="autoZero"/>
        <c:auto val="1"/>
        <c:lblAlgn val="ctr"/>
        <c:lblOffset val="100"/>
        <c:noMultiLvlLbl val="0"/>
      </c:catAx>
      <c:valAx>
        <c:axId val="447793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79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Maiores valorizações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DashBoardAux!$O$17:$O$26</c:f>
              <c:strCache>
                <c:ptCount val="10"/>
                <c:pt idx="0">
                  <c:v>-</c:v>
                </c:pt>
                <c:pt idx="1">
                  <c:v>CSNA3</c:v>
                </c:pt>
                <c:pt idx="2">
                  <c:v>ITSA4</c:v>
                </c:pt>
                <c:pt idx="3">
                  <c:v>FLRY3</c:v>
                </c:pt>
                <c:pt idx="4">
                  <c:v>HGBS11</c:v>
                </c:pt>
                <c:pt idx="5">
                  <c:v>PETR4</c:v>
                </c:pt>
                <c:pt idx="6">
                  <c:v>HGRE11</c:v>
                </c:pt>
                <c:pt idx="7">
                  <c:v>KNRI11</c:v>
                </c:pt>
                <c:pt idx="8">
                  <c:v>TAEE4</c:v>
                </c:pt>
                <c:pt idx="9">
                  <c:v>HGLG11</c:v>
                </c:pt>
              </c:strCache>
            </c:strRef>
          </c:cat>
          <c:val>
            <c:numRef>
              <c:f>DashBoardAux!$P$17:$P$26</c:f>
              <c:numCache>
                <c:formatCode>General</c:formatCode>
                <c:ptCount val="10"/>
                <c:pt idx="0">
                  <c:v>0</c:v>
                </c:pt>
                <c:pt idx="1">
                  <c:v>-0.15871886120996437</c:v>
                </c:pt>
                <c:pt idx="2">
                  <c:v>-2.7866242038216527E-2</c:v>
                </c:pt>
                <c:pt idx="3">
                  <c:v>7.4497144276119975E-4</c:v>
                </c:pt>
                <c:pt idx="4">
                  <c:v>2.3606614751946919E-2</c:v>
                </c:pt>
                <c:pt idx="5">
                  <c:v>3.7193831267009259E-2</c:v>
                </c:pt>
                <c:pt idx="6">
                  <c:v>8.1959583883301379E-2</c:v>
                </c:pt>
                <c:pt idx="7">
                  <c:v>0.10590065647174884</c:v>
                </c:pt>
                <c:pt idx="8">
                  <c:v>0.10703363914373099</c:v>
                </c:pt>
                <c:pt idx="9">
                  <c:v>0.26168852438095791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4-49A4-9847-843B62F504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447790632"/>
        <c:axId val="447787104"/>
      </c:barChart>
      <c:catAx>
        <c:axId val="447790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787104"/>
        <c:crosses val="autoZero"/>
        <c:auto val="1"/>
        <c:lblAlgn val="ctr"/>
        <c:lblOffset val="100"/>
        <c:noMultiLvlLbl val="0"/>
      </c:catAx>
      <c:valAx>
        <c:axId val="447787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790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6" fmlaLink="DashBoardAux!$C$8" fmlaRange="DashBoardAux!$C$3:$C$5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9525</xdr:rowOff>
        </xdr:from>
        <xdr:to>
          <xdr:col>2</xdr:col>
          <xdr:colOff>0</xdr:colOff>
          <xdr:row>1</xdr:row>
          <xdr:rowOff>9525</xdr:rowOff>
        </xdr:to>
        <xdr:sp macro="" textlink="">
          <xdr:nvSpPr>
            <xdr:cNvPr id="7169" name="Drop Dow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57151</xdr:colOff>
      <xdr:row>3</xdr:row>
      <xdr:rowOff>200023</xdr:rowOff>
    </xdr:from>
    <xdr:to>
      <xdr:col>5</xdr:col>
      <xdr:colOff>238126</xdr:colOff>
      <xdr:row>14</xdr:row>
      <xdr:rowOff>1423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538162</xdr:colOff>
      <xdr:row>3</xdr:row>
      <xdr:rowOff>200023</xdr:rowOff>
    </xdr:from>
    <xdr:to>
      <xdr:col>5</xdr:col>
      <xdr:colOff>3357562</xdr:colOff>
      <xdr:row>14</xdr:row>
      <xdr:rowOff>1423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276224</xdr:colOff>
      <xdr:row>3</xdr:row>
      <xdr:rowOff>200023</xdr:rowOff>
    </xdr:from>
    <xdr:to>
      <xdr:col>8</xdr:col>
      <xdr:colOff>9524</xdr:colOff>
      <xdr:row>14</xdr:row>
      <xdr:rowOff>1423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-ativos-FINA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-ativos-FINA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3969.42885729167" createdVersion="5" refreshedVersion="5" minRefreshableVersion="3" recordCount="71" xr:uid="{00000000-000A-0000-FFFF-FFFF06000000}">
  <cacheSource type="worksheet">
    <worksheetSource name="TbProventos" r:id="rId2"/>
  </cacheSource>
  <cacheFields count="9">
    <cacheField name="Cod" numFmtId="0">
      <sharedItems containsSemiMixedTypes="0" containsString="0" containsNumber="1" containsInteger="1" minValue="13" maxValue="50"/>
    </cacheField>
    <cacheField name="Ativo" numFmtId="0">
      <sharedItems count="10">
        <s v="ITSA4"/>
        <s v="HGBS11"/>
        <s v="HGLG11"/>
        <s v="HGRE11"/>
        <s v="KNRI11"/>
        <s v="PETR4"/>
        <s v="HGBS12"/>
        <s v="FLRY3"/>
        <s v="TAEE4"/>
        <s v="CSNA3"/>
      </sharedItems>
    </cacheField>
    <cacheField name="Qte" numFmtId="0">
      <sharedItems containsSemiMixedTypes="0" containsString="0" containsNumber="1" containsInteger="1" minValue="100" maxValue="100"/>
    </cacheField>
    <cacheField name="Valor Bruto" numFmtId="164">
      <sharedItems containsSemiMixedTypes="0" containsString="0" containsNumber="1" minValue="0" maxValue="180.6"/>
    </cacheField>
    <cacheField name="IR" numFmtId="164">
      <sharedItems containsSemiMixedTypes="0" containsString="0" containsNumber="1" minValue="0" maxValue="6"/>
    </cacheField>
    <cacheField name="Valor Líquido" numFmtId="164">
      <sharedItems containsSemiMixedTypes="0" containsString="0" containsNumber="1" minValue="0" maxValue="180.6"/>
    </cacheField>
    <cacheField name="Data" numFmtId="14">
      <sharedItems containsSemiMixedTypes="0" containsNonDate="0" containsDate="1" containsString="0" minDate="2018-12-15T00:00:00" maxDate="2020-01-18T00:00:00"/>
    </cacheField>
    <cacheField name="Ano/Mês" numFmtId="0">
      <sharedItems count="12">
        <s v="2018/12"/>
        <s v="2019/01"/>
        <s v="2019/02"/>
        <s v="2019/03"/>
        <s v="2019/04"/>
        <s v="2019/05"/>
        <s v="2019/06"/>
        <s v="2019/07"/>
        <s v="2019/08"/>
        <s v="2019/09"/>
        <s v="2019/10"/>
        <s v="2020/01"/>
      </sharedItems>
    </cacheField>
    <cacheField name="Tipo" numFmtId="0">
      <sharedItems count="3">
        <s v="EMPRESA"/>
        <s v="FII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3969.428857523148" createdVersion="5" refreshedVersion="5" minRefreshableVersion="3" recordCount="28" xr:uid="{00000000-000A-0000-FFFF-FFFF0B000000}">
  <cacheSource type="worksheet">
    <worksheetSource name="TbAportes" r:id="rId2"/>
  </cacheSource>
  <cacheFields count="10">
    <cacheField name="Data" numFmtId="14">
      <sharedItems containsSemiMixedTypes="0" containsNonDate="0" containsDate="1" containsString="0" minDate="2018-12-10T00:00:00" maxDate="2020-01-11T00:00:00"/>
    </cacheField>
    <cacheField name="Ativo" numFmtId="0">
      <sharedItems count="9">
        <s v="ITSA4"/>
        <s v="CSNA3"/>
        <s v="PETR4"/>
        <s v="HGLG11"/>
        <s v="HGRE11"/>
        <s v="FLRY3"/>
        <s v="HGBS11"/>
        <s v="KNRI11"/>
        <s v="TAEE4"/>
      </sharedItems>
    </cacheField>
    <cacheField name="Qte" numFmtId="0">
      <sharedItems containsSemiMixedTypes="0" containsString="0" containsNumber="1" containsInteger="1" minValue="1" maxValue="100"/>
    </cacheField>
    <cacheField name="Valor unitário" numFmtId="164">
      <sharedItems containsSemiMixedTypes="0" containsString="0" containsNumber="1" minValue="7.51" maxValue="194.23"/>
    </cacheField>
    <cacheField name="Custo" numFmtId="164">
      <sharedItems containsSemiMixedTypes="0" containsString="0" containsNumber="1" containsInteger="1" minValue="0" maxValue="10"/>
    </cacheField>
    <cacheField name="Total" numFmtId="164">
      <sharedItems containsSemiMixedTypes="0" containsString="0" containsNumber="1" minValue="191.74" maxValue="2042"/>
    </cacheField>
    <cacheField name="Tipo" numFmtId="0">
      <sharedItems count="2">
        <s v="EMPRESA"/>
        <s v="FII"/>
      </sharedItems>
    </cacheField>
    <cacheField name="Ano" numFmtId="0">
      <sharedItems containsSemiMixedTypes="0" containsString="0" containsNumber="1" containsInteger="1" minValue="2018" maxValue="2020"/>
    </cacheField>
    <cacheField name="Mês" numFmtId="0">
      <sharedItems containsSemiMixedTypes="0" containsString="0" containsNumber="1" containsInteger="1" minValue="1" maxValue="12"/>
    </cacheField>
    <cacheField name="Ano/Mês" numFmtId="0">
      <sharedItems count="14">
        <s v="2018/12"/>
        <s v="2019/01"/>
        <s v="2019/02"/>
        <s v="2019/03"/>
        <s v="2019/04"/>
        <s v="2019/05"/>
        <s v="2019/06"/>
        <s v="2019/07"/>
        <s v="2019/08"/>
        <s v="2019/09"/>
        <s v="2019/10"/>
        <s v="2019/11"/>
        <s v="2019/12"/>
        <s v="2020/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1">
  <r>
    <n v="13"/>
    <x v="0"/>
    <n v="100"/>
    <n v="39.479999999999997"/>
    <n v="0"/>
    <n v="39.479999999999997"/>
    <d v="2018-12-15T00:00:00"/>
    <x v="0"/>
    <x v="0"/>
  </r>
  <r>
    <n v="14"/>
    <x v="1"/>
    <n v="100"/>
    <n v="63"/>
    <n v="0"/>
    <n v="63"/>
    <d v="2018-12-17T00:00:00"/>
    <x v="0"/>
    <x v="1"/>
  </r>
  <r>
    <n v="14"/>
    <x v="2"/>
    <n v="100"/>
    <n v="81"/>
    <n v="0"/>
    <n v="81"/>
    <d v="2018-12-17T00:00:00"/>
    <x v="0"/>
    <x v="1"/>
  </r>
  <r>
    <n v="14"/>
    <x v="3"/>
    <n v="100"/>
    <n v="38.89"/>
    <n v="0"/>
    <n v="38.89"/>
    <d v="2018-12-17T00:00:00"/>
    <x v="0"/>
    <x v="1"/>
  </r>
  <r>
    <n v="14"/>
    <x v="4"/>
    <n v="100"/>
    <n v="34.770000000000003"/>
    <n v="0"/>
    <n v="34.770000000000003"/>
    <d v="2018-12-17T00:00:00"/>
    <x v="0"/>
    <x v="1"/>
  </r>
  <r>
    <n v="13"/>
    <x v="5"/>
    <n v="100"/>
    <n v="67"/>
    <n v="6"/>
    <n v="61"/>
    <d v="2019-01-15T00:00:00"/>
    <x v="1"/>
    <x v="0"/>
  </r>
  <r>
    <n v="14"/>
    <x v="1"/>
    <n v="100"/>
    <n v="75.709999999999994"/>
    <n v="0"/>
    <n v="75.709999999999994"/>
    <d v="2019-01-17T00:00:00"/>
    <x v="1"/>
    <x v="1"/>
  </r>
  <r>
    <n v="14"/>
    <x v="2"/>
    <n v="100"/>
    <n v="39.36"/>
    <n v="0"/>
    <n v="39.36"/>
    <d v="2019-01-17T00:00:00"/>
    <x v="1"/>
    <x v="1"/>
  </r>
  <r>
    <n v="14"/>
    <x v="3"/>
    <n v="100"/>
    <n v="51.8"/>
    <n v="0"/>
    <n v="51.8"/>
    <d v="2019-01-17T00:00:00"/>
    <x v="1"/>
    <x v="1"/>
  </r>
  <r>
    <n v="14"/>
    <x v="4"/>
    <n v="100"/>
    <n v="61.75"/>
    <n v="0"/>
    <n v="61.75"/>
    <d v="2019-01-17T00:00:00"/>
    <x v="1"/>
    <x v="1"/>
  </r>
  <r>
    <n v="13"/>
    <x v="0"/>
    <n v="100"/>
    <n v="65.430000000000007"/>
    <n v="0"/>
    <n v="65.430000000000007"/>
    <d v="2019-02-15T00:00:00"/>
    <x v="2"/>
    <x v="0"/>
  </r>
  <r>
    <n v="50"/>
    <x v="6"/>
    <n v="100"/>
    <n v="0"/>
    <n v="0"/>
    <n v="0"/>
    <d v="2019-02-15T00:00:00"/>
    <x v="2"/>
    <x v="2"/>
  </r>
  <r>
    <n v="14"/>
    <x v="1"/>
    <n v="100"/>
    <n v="61"/>
    <n v="0"/>
    <n v="61"/>
    <d v="2019-02-17T00:00:00"/>
    <x v="2"/>
    <x v="1"/>
  </r>
  <r>
    <n v="14"/>
    <x v="2"/>
    <n v="100"/>
    <n v="99"/>
    <n v="0"/>
    <n v="99"/>
    <d v="2019-02-17T00:00:00"/>
    <x v="2"/>
    <x v="1"/>
  </r>
  <r>
    <n v="14"/>
    <x v="3"/>
    <n v="100"/>
    <n v="99.9"/>
    <n v="0"/>
    <n v="99.9"/>
    <d v="2019-02-17T00:00:00"/>
    <x v="2"/>
    <x v="1"/>
  </r>
  <r>
    <n v="14"/>
    <x v="4"/>
    <n v="100"/>
    <n v="98.42"/>
    <n v="0"/>
    <n v="98.42"/>
    <d v="2019-02-17T00:00:00"/>
    <x v="2"/>
    <x v="1"/>
  </r>
  <r>
    <n v="13"/>
    <x v="7"/>
    <n v="100"/>
    <n v="166"/>
    <n v="2.34"/>
    <n v="163.66"/>
    <d v="2019-03-15T00:00:00"/>
    <x v="3"/>
    <x v="0"/>
  </r>
  <r>
    <n v="14"/>
    <x v="1"/>
    <n v="100"/>
    <n v="37.44"/>
    <n v="0"/>
    <n v="37.44"/>
    <d v="2019-03-17T00:00:00"/>
    <x v="3"/>
    <x v="1"/>
  </r>
  <r>
    <n v="14"/>
    <x v="2"/>
    <n v="100"/>
    <n v="52.02"/>
    <n v="0"/>
    <n v="52.02"/>
    <d v="2019-03-17T00:00:00"/>
    <x v="3"/>
    <x v="1"/>
  </r>
  <r>
    <n v="14"/>
    <x v="3"/>
    <n v="100"/>
    <n v="42.14"/>
    <n v="0"/>
    <n v="42.14"/>
    <d v="2019-03-17T00:00:00"/>
    <x v="3"/>
    <x v="1"/>
  </r>
  <r>
    <n v="14"/>
    <x v="4"/>
    <n v="100"/>
    <n v="177.12"/>
    <n v="0"/>
    <n v="177.12"/>
    <d v="2019-03-17T00:00:00"/>
    <x v="3"/>
    <x v="1"/>
  </r>
  <r>
    <n v="13"/>
    <x v="0"/>
    <n v="100"/>
    <n v="162.75"/>
    <n v="0"/>
    <n v="162.75"/>
    <d v="2019-04-15T00:00:00"/>
    <x v="4"/>
    <x v="0"/>
  </r>
  <r>
    <n v="14"/>
    <x v="1"/>
    <n v="100"/>
    <n v="61"/>
    <n v="0"/>
    <n v="61"/>
    <d v="2019-04-17T00:00:00"/>
    <x v="4"/>
    <x v="1"/>
  </r>
  <r>
    <n v="14"/>
    <x v="2"/>
    <n v="100"/>
    <n v="180.6"/>
    <n v="0"/>
    <n v="180.6"/>
    <d v="2019-04-17T00:00:00"/>
    <x v="4"/>
    <x v="1"/>
  </r>
  <r>
    <n v="14"/>
    <x v="3"/>
    <n v="100"/>
    <n v="38.4"/>
    <n v="0"/>
    <n v="38.4"/>
    <d v="2019-04-17T00:00:00"/>
    <x v="4"/>
    <x v="1"/>
  </r>
  <r>
    <n v="14"/>
    <x v="4"/>
    <n v="100"/>
    <n v="153.18"/>
    <n v="0"/>
    <n v="153.18"/>
    <d v="2019-04-17T00:00:00"/>
    <x v="4"/>
    <x v="1"/>
  </r>
  <r>
    <n v="13"/>
    <x v="8"/>
    <n v="100"/>
    <n v="156.13999999999999"/>
    <n v="0"/>
    <n v="156.13999999999999"/>
    <d v="2019-05-15T00:00:00"/>
    <x v="5"/>
    <x v="0"/>
  </r>
  <r>
    <n v="14"/>
    <x v="1"/>
    <n v="100"/>
    <n v="61"/>
    <n v="0"/>
    <n v="61"/>
    <d v="2019-05-17T00:00:00"/>
    <x v="5"/>
    <x v="1"/>
  </r>
  <r>
    <n v="14"/>
    <x v="2"/>
    <n v="100"/>
    <n v="99"/>
    <n v="0"/>
    <n v="99"/>
    <d v="2019-05-17T00:00:00"/>
    <x v="5"/>
    <x v="1"/>
  </r>
  <r>
    <n v="14"/>
    <x v="3"/>
    <n v="100"/>
    <n v="99.9"/>
    <n v="0"/>
    <n v="99.9"/>
    <d v="2019-05-17T00:00:00"/>
    <x v="5"/>
    <x v="1"/>
  </r>
  <r>
    <n v="14"/>
    <x v="4"/>
    <n v="100"/>
    <n v="98.42"/>
    <n v="0"/>
    <n v="98.42"/>
    <d v="2019-05-17T00:00:00"/>
    <x v="5"/>
    <x v="1"/>
  </r>
  <r>
    <n v="13"/>
    <x v="0"/>
    <n v="100"/>
    <n v="166"/>
    <n v="0"/>
    <n v="166"/>
    <d v="2019-06-15T00:00:00"/>
    <x v="6"/>
    <x v="0"/>
  </r>
  <r>
    <n v="14"/>
    <x v="1"/>
    <n v="100"/>
    <n v="37.44"/>
    <n v="0"/>
    <n v="37.44"/>
    <d v="2019-06-17T00:00:00"/>
    <x v="6"/>
    <x v="1"/>
  </r>
  <r>
    <n v="14"/>
    <x v="2"/>
    <n v="100"/>
    <n v="52.02"/>
    <n v="0"/>
    <n v="52.02"/>
    <d v="2019-06-17T00:00:00"/>
    <x v="6"/>
    <x v="1"/>
  </r>
  <r>
    <n v="14"/>
    <x v="3"/>
    <n v="100"/>
    <n v="42.14"/>
    <n v="0"/>
    <n v="42.14"/>
    <d v="2019-06-17T00:00:00"/>
    <x v="6"/>
    <x v="1"/>
  </r>
  <r>
    <n v="14"/>
    <x v="4"/>
    <n v="100"/>
    <n v="177.12"/>
    <n v="0"/>
    <n v="177.12"/>
    <d v="2019-06-17T00:00:00"/>
    <x v="6"/>
    <x v="1"/>
  </r>
  <r>
    <n v="13"/>
    <x v="5"/>
    <n v="100"/>
    <n v="162.75"/>
    <n v="0"/>
    <n v="162.75"/>
    <d v="2019-07-15T00:00:00"/>
    <x v="7"/>
    <x v="0"/>
  </r>
  <r>
    <n v="14"/>
    <x v="1"/>
    <n v="100"/>
    <n v="61"/>
    <n v="0"/>
    <n v="61"/>
    <d v="2019-07-17T00:00:00"/>
    <x v="7"/>
    <x v="1"/>
  </r>
  <r>
    <n v="14"/>
    <x v="2"/>
    <n v="100"/>
    <n v="180.6"/>
    <n v="0"/>
    <n v="180.6"/>
    <d v="2019-07-17T00:00:00"/>
    <x v="7"/>
    <x v="1"/>
  </r>
  <r>
    <n v="14"/>
    <x v="3"/>
    <n v="100"/>
    <n v="38.4"/>
    <n v="0"/>
    <n v="38.4"/>
    <d v="2019-07-17T00:00:00"/>
    <x v="7"/>
    <x v="1"/>
  </r>
  <r>
    <n v="14"/>
    <x v="4"/>
    <n v="100"/>
    <n v="153.18"/>
    <n v="0"/>
    <n v="153.18"/>
    <d v="2019-07-17T00:00:00"/>
    <x v="7"/>
    <x v="1"/>
  </r>
  <r>
    <n v="13"/>
    <x v="7"/>
    <n v="100"/>
    <n v="156.13999999999999"/>
    <n v="0"/>
    <n v="156.13999999999999"/>
    <d v="2019-08-15T00:00:00"/>
    <x v="8"/>
    <x v="0"/>
  </r>
  <r>
    <n v="14"/>
    <x v="1"/>
    <n v="100"/>
    <n v="61"/>
    <n v="1.03"/>
    <n v="59.97"/>
    <d v="2019-08-17T00:00:00"/>
    <x v="8"/>
    <x v="1"/>
  </r>
  <r>
    <n v="14"/>
    <x v="2"/>
    <n v="100"/>
    <n v="99"/>
    <n v="0"/>
    <n v="99"/>
    <d v="2019-08-17T00:00:00"/>
    <x v="8"/>
    <x v="1"/>
  </r>
  <r>
    <n v="14"/>
    <x v="3"/>
    <n v="100"/>
    <n v="99.9"/>
    <n v="0"/>
    <n v="99.9"/>
    <d v="2019-08-17T00:00:00"/>
    <x v="8"/>
    <x v="1"/>
  </r>
  <r>
    <n v="14"/>
    <x v="4"/>
    <n v="100"/>
    <n v="98.42"/>
    <n v="0"/>
    <n v="98.42"/>
    <d v="2019-08-17T00:00:00"/>
    <x v="8"/>
    <x v="1"/>
  </r>
  <r>
    <n v="13"/>
    <x v="9"/>
    <n v="100"/>
    <n v="166"/>
    <n v="0"/>
    <n v="166"/>
    <d v="2019-09-15T00:00:00"/>
    <x v="9"/>
    <x v="0"/>
  </r>
  <r>
    <n v="14"/>
    <x v="1"/>
    <n v="100"/>
    <n v="37.44"/>
    <n v="0"/>
    <n v="37.44"/>
    <d v="2019-09-17T00:00:00"/>
    <x v="9"/>
    <x v="1"/>
  </r>
  <r>
    <n v="14"/>
    <x v="2"/>
    <n v="100"/>
    <n v="52.02"/>
    <n v="0"/>
    <n v="52.02"/>
    <d v="2019-09-17T00:00:00"/>
    <x v="9"/>
    <x v="1"/>
  </r>
  <r>
    <n v="14"/>
    <x v="3"/>
    <n v="100"/>
    <n v="42.14"/>
    <n v="0"/>
    <n v="42.14"/>
    <d v="2019-09-17T00:00:00"/>
    <x v="9"/>
    <x v="1"/>
  </r>
  <r>
    <n v="14"/>
    <x v="4"/>
    <n v="100"/>
    <n v="177.12"/>
    <n v="0"/>
    <n v="177.12"/>
    <d v="2019-09-17T00:00:00"/>
    <x v="9"/>
    <x v="1"/>
  </r>
  <r>
    <n v="13"/>
    <x v="0"/>
    <n v="100"/>
    <n v="162.75"/>
    <n v="0"/>
    <n v="162.75"/>
    <d v="2019-10-15T00:00:00"/>
    <x v="10"/>
    <x v="0"/>
  </r>
  <r>
    <n v="14"/>
    <x v="1"/>
    <n v="100"/>
    <n v="61"/>
    <n v="0"/>
    <n v="61"/>
    <d v="2019-10-17T00:00:00"/>
    <x v="10"/>
    <x v="1"/>
  </r>
  <r>
    <n v="14"/>
    <x v="2"/>
    <n v="100"/>
    <n v="180.6"/>
    <n v="0"/>
    <n v="180.6"/>
    <d v="2019-10-17T00:00:00"/>
    <x v="10"/>
    <x v="1"/>
  </r>
  <r>
    <n v="14"/>
    <x v="3"/>
    <n v="100"/>
    <n v="38.4"/>
    <n v="0"/>
    <n v="38.4"/>
    <d v="2019-10-17T00:00:00"/>
    <x v="10"/>
    <x v="1"/>
  </r>
  <r>
    <n v="14"/>
    <x v="4"/>
    <n v="100"/>
    <n v="153.18"/>
    <n v="0"/>
    <n v="153.18"/>
    <d v="2019-10-17T00:00:00"/>
    <x v="10"/>
    <x v="1"/>
  </r>
  <r>
    <n v="13"/>
    <x v="8"/>
    <n v="100"/>
    <n v="156.13999999999999"/>
    <n v="0"/>
    <n v="156.13999999999999"/>
    <d v="2019-10-15T00:00:00"/>
    <x v="10"/>
    <x v="0"/>
  </r>
  <r>
    <n v="14"/>
    <x v="1"/>
    <n v="100"/>
    <n v="61"/>
    <n v="0"/>
    <n v="61"/>
    <d v="2019-10-17T00:00:00"/>
    <x v="10"/>
    <x v="1"/>
  </r>
  <r>
    <n v="14"/>
    <x v="2"/>
    <n v="100"/>
    <n v="99"/>
    <n v="0"/>
    <n v="99"/>
    <d v="2019-10-17T00:00:00"/>
    <x v="10"/>
    <x v="1"/>
  </r>
  <r>
    <n v="14"/>
    <x v="3"/>
    <n v="100"/>
    <n v="99.9"/>
    <n v="0"/>
    <n v="99.9"/>
    <d v="2019-10-17T00:00:00"/>
    <x v="10"/>
    <x v="1"/>
  </r>
  <r>
    <n v="14"/>
    <x v="4"/>
    <n v="100"/>
    <n v="98.42"/>
    <n v="0"/>
    <n v="98.42"/>
    <d v="2019-10-17T00:00:00"/>
    <x v="10"/>
    <x v="1"/>
  </r>
  <r>
    <n v="13"/>
    <x v="0"/>
    <n v="100"/>
    <n v="166"/>
    <n v="0"/>
    <n v="166"/>
    <d v="2019-10-15T00:00:00"/>
    <x v="10"/>
    <x v="0"/>
  </r>
  <r>
    <n v="14"/>
    <x v="1"/>
    <n v="100"/>
    <n v="37.44"/>
    <n v="0"/>
    <n v="37.44"/>
    <d v="2019-10-17T00:00:00"/>
    <x v="10"/>
    <x v="1"/>
  </r>
  <r>
    <n v="14"/>
    <x v="2"/>
    <n v="100"/>
    <n v="52.02"/>
    <n v="0"/>
    <n v="52.02"/>
    <d v="2019-10-17T00:00:00"/>
    <x v="10"/>
    <x v="1"/>
  </r>
  <r>
    <n v="14"/>
    <x v="3"/>
    <n v="100"/>
    <n v="42.14"/>
    <n v="0"/>
    <n v="42.14"/>
    <d v="2019-10-17T00:00:00"/>
    <x v="10"/>
    <x v="1"/>
  </r>
  <r>
    <n v="14"/>
    <x v="4"/>
    <n v="100"/>
    <n v="177.12"/>
    <n v="0"/>
    <n v="177.12"/>
    <d v="2019-10-17T00:00:00"/>
    <x v="10"/>
    <x v="1"/>
  </r>
  <r>
    <n v="14"/>
    <x v="8"/>
    <n v="100"/>
    <n v="162.75"/>
    <n v="0"/>
    <n v="162.75"/>
    <d v="2020-01-15T00:00:00"/>
    <x v="11"/>
    <x v="0"/>
  </r>
  <r>
    <n v="14"/>
    <x v="1"/>
    <n v="100"/>
    <n v="61"/>
    <n v="0"/>
    <n v="61"/>
    <d v="2020-01-17T00:00:00"/>
    <x v="11"/>
    <x v="1"/>
  </r>
  <r>
    <n v="14"/>
    <x v="2"/>
    <n v="100"/>
    <n v="180.6"/>
    <n v="0"/>
    <n v="180.6"/>
    <d v="2020-01-17T00:00:00"/>
    <x v="11"/>
    <x v="1"/>
  </r>
  <r>
    <n v="14"/>
    <x v="3"/>
    <n v="100"/>
    <n v="38.4"/>
    <n v="0"/>
    <n v="38.4"/>
    <d v="2020-01-17T00:00:00"/>
    <x v="11"/>
    <x v="1"/>
  </r>
  <r>
    <n v="14"/>
    <x v="4"/>
    <n v="100"/>
    <n v="153.18"/>
    <n v="0"/>
    <n v="153.18"/>
    <d v="2020-01-17T00:00:00"/>
    <x v="1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d v="2018-12-10T00:00:00"/>
    <x v="0"/>
    <n v="100"/>
    <n v="7.51"/>
    <n v="10"/>
    <n v="761"/>
    <x v="0"/>
    <n v="2018"/>
    <n v="12"/>
    <x v="0"/>
  </r>
  <r>
    <d v="2018-12-10T00:00:00"/>
    <x v="1"/>
    <n v="100"/>
    <n v="8.23"/>
    <n v="10"/>
    <n v="833"/>
    <x v="0"/>
    <n v="2018"/>
    <n v="12"/>
    <x v="0"/>
  </r>
  <r>
    <d v="2019-01-10T00:00:00"/>
    <x v="2"/>
    <n v="100"/>
    <n v="16.34"/>
    <n v="10"/>
    <n v="1644"/>
    <x v="0"/>
    <n v="2019"/>
    <n v="1"/>
    <x v="1"/>
  </r>
  <r>
    <d v="2019-01-10T00:00:00"/>
    <x v="3"/>
    <n v="5"/>
    <n v="140.97999999999999"/>
    <n v="0"/>
    <n v="704.9"/>
    <x v="1"/>
    <n v="2019"/>
    <n v="1"/>
    <x v="1"/>
  </r>
  <r>
    <d v="2019-02-10T00:00:00"/>
    <x v="0"/>
    <n v="100"/>
    <n v="7.78"/>
    <n v="10"/>
    <n v="788"/>
    <x v="0"/>
    <n v="2019"/>
    <n v="2"/>
    <x v="2"/>
  </r>
  <r>
    <d v="2019-02-10T00:00:00"/>
    <x v="4"/>
    <n v="8"/>
    <n v="123.94"/>
    <n v="0"/>
    <n v="991.52"/>
    <x v="1"/>
    <n v="2019"/>
    <n v="2"/>
    <x v="2"/>
  </r>
  <r>
    <d v="2019-03-10T00:00:00"/>
    <x v="5"/>
    <n v="100"/>
    <n v="19.75"/>
    <n v="10"/>
    <n v="1985"/>
    <x v="0"/>
    <n v="2019"/>
    <n v="3"/>
    <x v="3"/>
  </r>
  <r>
    <d v="2019-03-10T00:00:00"/>
    <x v="6"/>
    <n v="3"/>
    <n v="183.82"/>
    <n v="0"/>
    <n v="551.46"/>
    <x v="1"/>
    <n v="2019"/>
    <n v="3"/>
    <x v="3"/>
  </r>
  <r>
    <d v="2019-04-10T00:00:00"/>
    <x v="3"/>
    <n v="2"/>
    <n v="121.34"/>
    <n v="0"/>
    <n v="242.68"/>
    <x v="1"/>
    <n v="2019"/>
    <n v="4"/>
    <x v="4"/>
  </r>
  <r>
    <d v="2019-04-10T00:00:00"/>
    <x v="7"/>
    <n v="3"/>
    <n v="131.05000000000001"/>
    <n v="0"/>
    <n v="393.15000000000003"/>
    <x v="1"/>
    <n v="2019"/>
    <n v="4"/>
    <x v="4"/>
  </r>
  <r>
    <d v="2019-05-10T00:00:00"/>
    <x v="1"/>
    <n v="100"/>
    <n v="9.4499999999999993"/>
    <n v="10"/>
    <n v="954.99999999999989"/>
    <x v="0"/>
    <n v="2019"/>
    <n v="5"/>
    <x v="5"/>
  </r>
  <r>
    <d v="2019-05-10T00:00:00"/>
    <x v="8"/>
    <n v="100"/>
    <n v="7.56"/>
    <n v="10"/>
    <n v="766"/>
    <x v="0"/>
    <n v="2019"/>
    <n v="5"/>
    <x v="5"/>
  </r>
  <r>
    <d v="2019-06-10T00:00:00"/>
    <x v="4"/>
    <n v="5"/>
    <n v="135.81"/>
    <n v="0"/>
    <n v="679.05"/>
    <x v="1"/>
    <n v="2019"/>
    <n v="6"/>
    <x v="6"/>
  </r>
  <r>
    <d v="2019-06-10T00:00:00"/>
    <x v="2"/>
    <n v="100"/>
    <n v="15.81"/>
    <n v="10"/>
    <n v="1591"/>
    <x v="0"/>
    <n v="2019"/>
    <n v="6"/>
    <x v="6"/>
  </r>
  <r>
    <d v="2019-07-10T00:00:00"/>
    <x v="5"/>
    <n v="100"/>
    <n v="20.32"/>
    <n v="10"/>
    <n v="2042"/>
    <x v="0"/>
    <n v="2019"/>
    <n v="7"/>
    <x v="7"/>
  </r>
  <r>
    <d v="2019-07-10T00:00:00"/>
    <x v="6"/>
    <n v="1"/>
    <n v="191.74"/>
    <n v="0"/>
    <n v="191.74"/>
    <x v="1"/>
    <n v="2019"/>
    <n v="7"/>
    <x v="7"/>
  </r>
  <r>
    <d v="2019-08-10T00:00:00"/>
    <x v="3"/>
    <n v="7"/>
    <n v="138.94"/>
    <n v="0"/>
    <n v="972.57999999999993"/>
    <x v="1"/>
    <n v="2019"/>
    <n v="8"/>
    <x v="8"/>
  </r>
  <r>
    <d v="2019-08-10T00:00:00"/>
    <x v="2"/>
    <n v="100"/>
    <n v="17.559999999999999"/>
    <n v="10"/>
    <n v="1765.9999999999998"/>
    <x v="0"/>
    <n v="2019"/>
    <n v="8"/>
    <x v="8"/>
  </r>
  <r>
    <d v="2019-09-10T00:00:00"/>
    <x v="1"/>
    <n v="100"/>
    <n v="10.119999999999999"/>
    <n v="10"/>
    <n v="1021.9999999999999"/>
    <x v="0"/>
    <n v="2019"/>
    <n v="9"/>
    <x v="9"/>
  </r>
  <r>
    <d v="2019-09-10T00:00:00"/>
    <x v="4"/>
    <n v="2"/>
    <n v="134.1"/>
    <n v="0"/>
    <n v="268.2"/>
    <x v="1"/>
    <n v="2019"/>
    <n v="9"/>
    <x v="9"/>
  </r>
  <r>
    <d v="2019-10-10T00:00:00"/>
    <x v="2"/>
    <n v="100"/>
    <n v="16.03"/>
    <n v="10"/>
    <n v="1613"/>
    <x v="0"/>
    <n v="2019"/>
    <n v="10"/>
    <x v="10"/>
  </r>
  <r>
    <d v="2019-10-10T00:00:00"/>
    <x v="6"/>
    <n v="5"/>
    <n v="194.23"/>
    <n v="0"/>
    <n v="971.15"/>
    <x v="1"/>
    <n v="2019"/>
    <n v="10"/>
    <x v="10"/>
  </r>
  <r>
    <d v="2019-11-10T00:00:00"/>
    <x v="0"/>
    <n v="100"/>
    <n v="9.5299999999999994"/>
    <n v="10"/>
    <n v="962.99999999999989"/>
    <x v="0"/>
    <n v="2019"/>
    <n v="11"/>
    <x v="11"/>
  </r>
  <r>
    <d v="2019-11-10T00:00:00"/>
    <x v="3"/>
    <n v="3"/>
    <n v="143.55000000000001"/>
    <n v="0"/>
    <n v="430.65000000000003"/>
    <x v="1"/>
    <n v="2019"/>
    <n v="11"/>
    <x v="11"/>
  </r>
  <r>
    <d v="2019-12-10T00:00:00"/>
    <x v="7"/>
    <n v="5"/>
    <n v="143.22999999999999"/>
    <n v="0"/>
    <n v="716.15"/>
    <x v="1"/>
    <n v="2019"/>
    <n v="12"/>
    <x v="12"/>
  </r>
  <r>
    <d v="2019-12-10T00:00:00"/>
    <x v="8"/>
    <n v="100"/>
    <n v="8.59"/>
    <n v="10"/>
    <n v="869"/>
    <x v="0"/>
    <n v="2019"/>
    <n v="12"/>
    <x v="12"/>
  </r>
  <r>
    <d v="2020-01-10T00:00:00"/>
    <x v="7"/>
    <n v="10"/>
    <n v="152.6"/>
    <n v="0"/>
    <n v="1526"/>
    <x v="1"/>
    <n v="2020"/>
    <n v="1"/>
    <x v="13"/>
  </r>
  <r>
    <d v="2020-01-10T00:00:00"/>
    <x v="4"/>
    <n v="4"/>
    <n v="138.44999999999999"/>
    <n v="0"/>
    <n v="553.79999999999995"/>
    <x v="1"/>
    <n v="2020"/>
    <n v="1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3:O16" firstHeaderRow="1" firstDataRow="2" firstDataCol="1"/>
  <pivotFields count="9">
    <pivotField showAll="0"/>
    <pivotField axis="axisRow" showAll="0">
      <items count="11">
        <item x="9"/>
        <item x="7"/>
        <item x="1"/>
        <item x="6"/>
        <item x="2"/>
        <item x="3"/>
        <item x="0"/>
        <item x="4"/>
        <item x="5"/>
        <item x="8"/>
        <item t="default"/>
      </items>
    </pivotField>
    <pivotField showAll="0"/>
    <pivotField numFmtId="164" showAll="0"/>
    <pivotField numFmtId="164" showAll="0"/>
    <pivotField dataField="1" numFmtId="164" showAll="0"/>
    <pivotField numFmtId="14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h="1" x="2"/>
        <item t="default"/>
      </items>
    </pivotField>
  </pivotFields>
  <rowFields count="2">
    <field x="8"/>
    <field x="1"/>
  </rowFields>
  <rowItems count="12">
    <i>
      <x/>
    </i>
    <i r="1">
      <x/>
    </i>
    <i r="1">
      <x v="1"/>
    </i>
    <i r="1">
      <x v="6"/>
    </i>
    <i r="1">
      <x v="8"/>
    </i>
    <i r="1">
      <x v="9"/>
    </i>
    <i>
      <x v="1"/>
    </i>
    <i r="1">
      <x v="2"/>
    </i>
    <i r="1">
      <x v="4"/>
    </i>
    <i r="1">
      <x v="5"/>
    </i>
    <i r="1">
      <x v="7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 Líquido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Tabela dinâmica1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3:Q16" firstHeaderRow="1" firstDataRow="2" firstDataCol="1"/>
  <pivotFields count="10">
    <pivotField numFmtId="14" showAll="0"/>
    <pivotField axis="axisRow" showAll="0">
      <items count="10">
        <item x="1"/>
        <item x="5"/>
        <item x="6"/>
        <item x="3"/>
        <item x="4"/>
        <item x="0"/>
        <item x="7"/>
        <item x="2"/>
        <item x="8"/>
        <item t="default"/>
      </items>
    </pivotField>
    <pivotField showAll="0"/>
    <pivotField numFmtId="164" showAll="0"/>
    <pivotField numFmtId="164" showAll="0"/>
    <pivotField dataField="1" numFmtId="164" showAll="0"/>
    <pivotField axis="axisRow" showAll="0">
      <items count="3">
        <item x="0"/>
        <item x="1"/>
        <item t="default"/>
      </items>
    </pivotField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1"/>
  </rowFields>
  <rowItems count="12">
    <i>
      <x/>
    </i>
    <i r="1">
      <x/>
    </i>
    <i r="1">
      <x v="1"/>
    </i>
    <i r="1">
      <x v="5"/>
    </i>
    <i r="1">
      <x v="7"/>
    </i>
    <i r="1">
      <x v="8"/>
    </i>
    <i>
      <x v="1"/>
    </i>
    <i r="1">
      <x v="2"/>
    </i>
    <i r="1">
      <x v="3"/>
    </i>
    <i r="1">
      <x v="4"/>
    </i>
    <i r="1">
      <x v="6"/>
    </i>
    <i t="grand">
      <x/>
    </i>
  </rowItems>
  <colFields count="1">
    <field x="9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oma de Total" fld="5" baseField="6" baseItem="0" numFmtId="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Carteira" displayName="TbCarteira" ref="B2:J12" totalsRowCount="1">
  <autoFilter ref="B2:J11" xr:uid="{00000000-0009-0000-0100-000003000000}"/>
  <tableColumns count="9">
    <tableColumn id="1" xr3:uid="{00000000-0010-0000-0000-000001000000}" name="Ativo" totalsRowLabel="Total"/>
    <tableColumn id="2" xr3:uid="{00000000-0010-0000-0000-000002000000}" name="Tipo" dataDxfId="56">
      <calculatedColumnFormula>VLOOKUP(TbCarteira[[#This Row],[Ativo]],TbAtivos!$C$3:$E$500,2,FALSE)</calculatedColumnFormula>
    </tableColumn>
    <tableColumn id="3" xr3:uid="{00000000-0010-0000-0000-000003000000}" name="Cotação" dataDxfId="55">
      <calculatedColumnFormula>VLOOKUP(TbCarteira[[#This Row],[Ativo]],TbAtivos!$C$3:$E$500,3,FALSE)</calculatedColumnFormula>
    </tableColumn>
    <tableColumn id="4" xr3:uid="{00000000-0010-0000-0000-000004000000}" name="Total aportado" totalsRowFunction="sum" dataDxfId="54">
      <calculatedColumnFormula>SUMIFS(TbAportes[Total],TbAportes[Ativo],TbCarteira[[#This Row],[Ativo]],TbAportes[Data],"&lt;="&amp;IF($M$2="",TODAY(),$M$2))</calculatedColumnFormula>
    </tableColumn>
    <tableColumn id="5" xr3:uid="{00000000-0010-0000-0000-000005000000}" name="Total qte" dataDxfId="53">
      <calculatedColumnFormula>SUMIFS(TbAportes[Qte],TbAportes[Ativo],TbCarteira[[#This Row],[Ativo]],TbAportes[Data],"&lt;="&amp;IF($M$2="",TODAY(),$M$2))</calculatedColumnFormula>
    </tableColumn>
    <tableColumn id="6" xr3:uid="{00000000-0010-0000-0000-000006000000}" name="PM" dataDxfId="52">
      <calculatedColumnFormula>TbCarteira[[#This Row],[Total aportado]]/TbCarteira[[#This Row],[Total qte]]</calculatedColumnFormula>
    </tableColumn>
    <tableColumn id="7" xr3:uid="{00000000-0010-0000-0000-000007000000}" name="Total atual" totalsRowFunction="sum" dataDxfId="51">
      <calculatedColumnFormula>TbCarteira[[#This Row],[Total qte]]*TbCarteira[[#This Row],[Cotação]]</calculatedColumnFormula>
    </tableColumn>
    <tableColumn id="8" xr3:uid="{00000000-0010-0000-0000-000008000000}" name="Valorização" totalsRowFunction="sum" dataDxfId="50">
      <calculatedColumnFormula>TbCarteira[[#This Row],[Total atual]]-TbCarteira[[#This Row],[Total aportado]]</calculatedColumnFormula>
    </tableColumn>
    <tableColumn id="9" xr3:uid="{00000000-0010-0000-0000-000009000000}" name="Valorização %" dataDxfId="49" totalsRowDxfId="48">
      <calculatedColumnFormula>TbCarteira[[#This Row],[Total atual]]/TbCarteira[[#This Row],[Total aportado]]-1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CarteiraAcoes" displayName="TbCarteiraAcoes" ref="B2:J8" totalsRowCount="1">
  <autoFilter ref="B2:J7" xr:uid="{00000000-0009-0000-0100-000004000000}"/>
  <sortState xmlns:xlrd2="http://schemas.microsoft.com/office/spreadsheetml/2017/richdata2" ref="B3:J11">
    <sortCondition ref="C2:C11"/>
  </sortState>
  <tableColumns count="9">
    <tableColumn id="1" xr3:uid="{00000000-0010-0000-0100-000001000000}" name="Ativo" totalsRowLabel="Total"/>
    <tableColumn id="2" xr3:uid="{00000000-0010-0000-0100-000002000000}" name="Tipo" dataDxfId="47">
      <calculatedColumnFormula>VLOOKUP(TbCarteiraAcoes[[#This Row],[Ativo]],TbAtivos!$C$3:$E$500,2,FALSE)</calculatedColumnFormula>
    </tableColumn>
    <tableColumn id="3" xr3:uid="{00000000-0010-0000-0100-000003000000}" name="Cotação" dataDxfId="46">
      <calculatedColumnFormula>VLOOKUP(TbCarteiraAcoes[[#This Row],[Ativo]],TbAtivos!$C$3:$E$500,3,FALSE)</calculatedColumnFormula>
    </tableColumn>
    <tableColumn id="4" xr3:uid="{00000000-0010-0000-0100-000004000000}" name="Total aportado" totalsRowFunction="sum" dataDxfId="45">
      <calculatedColumnFormula>SUMIFS(TbAportes[Total],TbAportes[Ativo],TbCarteiraAcoes[[#This Row],[Ativo]],TbAportes[Data],"&lt;="&amp;IF($M$2="",TODAY(),$M$2))</calculatedColumnFormula>
    </tableColumn>
    <tableColumn id="5" xr3:uid="{00000000-0010-0000-0100-000005000000}" name="Total qte" dataDxfId="44">
      <calculatedColumnFormula>SUMIFS(TbAportes[Qte],TbAportes[Ativo],TbCarteiraAcoes[[#This Row],[Ativo]],TbAportes[Data],"&lt;="&amp;IF($M$2="",TODAY(),$M$2))</calculatedColumnFormula>
    </tableColumn>
    <tableColumn id="6" xr3:uid="{00000000-0010-0000-0100-000006000000}" name="PM" dataDxfId="43">
      <calculatedColumnFormula>TbCarteiraAcoes[[#This Row],[Total aportado]]/TbCarteiraAcoes[[#This Row],[Total qte]]</calculatedColumnFormula>
    </tableColumn>
    <tableColumn id="7" xr3:uid="{00000000-0010-0000-0100-000007000000}" name="Total atual" totalsRowFunction="sum" dataDxfId="42">
      <calculatedColumnFormula>TbCarteiraAcoes[[#This Row],[Total qte]]*TbCarteiraAcoes[[#This Row],[Cotação]]</calculatedColumnFormula>
    </tableColumn>
    <tableColumn id="8" xr3:uid="{00000000-0010-0000-0100-000008000000}" name="Valorização" totalsRowFunction="sum" dataDxfId="41">
      <calculatedColumnFormula>TbCarteiraAcoes[[#This Row],[Total atual]]-TbCarteiraAcoes[[#This Row],[Total aportado]]</calculatedColumnFormula>
    </tableColumn>
    <tableColumn id="9" xr3:uid="{00000000-0010-0000-0100-000009000000}" name="Valorização %" dataDxfId="40" totalsRowDxfId="39">
      <calculatedColumnFormula>TbCarteiraAcoes[[#This Row],[Total atual]]/TbCarteiraAcoes[[#This Row],[Total aportado]]-1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bCarteiraFII" displayName="TbCarteiraFII" ref="B2:J7" totalsRowCount="1">
  <autoFilter ref="B2:J6" xr:uid="{00000000-0009-0000-0100-000005000000}"/>
  <sortState xmlns:xlrd2="http://schemas.microsoft.com/office/spreadsheetml/2017/richdata2" ref="B3:J11">
    <sortCondition ref="C2:C11"/>
  </sortState>
  <tableColumns count="9">
    <tableColumn id="1" xr3:uid="{00000000-0010-0000-0200-000001000000}" name="Ativo" totalsRowLabel="Total"/>
    <tableColumn id="2" xr3:uid="{00000000-0010-0000-0200-000002000000}" name="Tipo" dataDxfId="38">
      <calculatedColumnFormula>VLOOKUP(TbCarteiraFII[[#This Row],[Ativo]],TbAtivos!$C$3:$E$500,2,FALSE)</calculatedColumnFormula>
    </tableColumn>
    <tableColumn id="3" xr3:uid="{00000000-0010-0000-0200-000003000000}" name="Cotação" dataDxfId="37">
      <calculatedColumnFormula>VLOOKUP(TbCarteiraFII[[#This Row],[Ativo]],TbAtivos!$C$3:$E$500,3,FALSE)</calculatedColumnFormula>
    </tableColumn>
    <tableColumn id="4" xr3:uid="{00000000-0010-0000-0200-000004000000}" name="Total aportado" totalsRowFunction="sum" dataDxfId="36">
      <calculatedColumnFormula>SUMIFS(TbAportes[Total],TbAportes[Ativo],TbCarteiraFII[[#This Row],[Ativo]],TbAportes[Data],"&lt;="&amp;IF($M$2="",TODAY(),$M$2))</calculatedColumnFormula>
    </tableColumn>
    <tableColumn id="5" xr3:uid="{00000000-0010-0000-0200-000005000000}" name="Total qte" dataDxfId="35">
      <calculatedColumnFormula>SUMIFS(TbAportes[Qte],TbAportes[Ativo],TbCarteiraFII[[#This Row],[Ativo]],TbAportes[Data],"&lt;="&amp;IF($M$2="",TODAY(),$M$2))</calculatedColumnFormula>
    </tableColumn>
    <tableColumn id="6" xr3:uid="{00000000-0010-0000-0200-000006000000}" name="PM" dataDxfId="34">
      <calculatedColumnFormula>TbCarteiraFII[[#This Row],[Total aportado]]/TbCarteiraFII[[#This Row],[Total qte]]</calculatedColumnFormula>
    </tableColumn>
    <tableColumn id="7" xr3:uid="{00000000-0010-0000-0200-000007000000}" name="Total atual" totalsRowFunction="sum" dataDxfId="33">
      <calculatedColumnFormula>TbCarteiraFII[[#This Row],[Total qte]]*TbCarteiraFII[[#This Row],[Cotação]]</calculatedColumnFormula>
    </tableColumn>
    <tableColumn id="8" xr3:uid="{00000000-0010-0000-0200-000008000000}" name="Valorização" totalsRowFunction="sum" dataDxfId="32">
      <calculatedColumnFormula>TbCarteiraFII[[#This Row],[Total atual]]-TbCarteiraFII[[#This Row],[Total aportado]]</calculatedColumnFormula>
    </tableColumn>
    <tableColumn id="9" xr3:uid="{00000000-0010-0000-0200-000009000000}" name="Valorização %" dataDxfId="31" totalsRowDxfId="30">
      <calculatedColumnFormula>TbCarteiraFII[[#This Row],[Total atual]]/TbCarteiraFII[[#This Row],[Total aportado]]-1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bAportes" displayName="TbAportes" ref="B2:K30" totalsRowShown="0" headerRowDxfId="29" dataDxfId="28">
  <autoFilter ref="B2:K30" xr:uid="{00000000-0009-0000-0100-000001000000}"/>
  <tableColumns count="10">
    <tableColumn id="1" xr3:uid="{00000000-0010-0000-0300-000001000000}" name="Data" dataDxfId="27"/>
    <tableColumn id="2" xr3:uid="{00000000-0010-0000-0300-000002000000}" name="Ativo" dataDxfId="26"/>
    <tableColumn id="3" xr3:uid="{00000000-0010-0000-0300-000003000000}" name="Qte" dataDxfId="25"/>
    <tableColumn id="4" xr3:uid="{00000000-0010-0000-0300-000004000000}" name="Valor unitário" dataDxfId="24"/>
    <tableColumn id="5" xr3:uid="{00000000-0010-0000-0300-000005000000}" name="Custo" dataDxfId="23"/>
    <tableColumn id="6" xr3:uid="{00000000-0010-0000-0300-000006000000}" name="Total" dataDxfId="22">
      <calculatedColumnFormula>TbAportes[[#This Row],[Valor unitário]]*TbAportes[[#This Row],[Qte]]+TbAportes[[#This Row],[Custo]]</calculatedColumnFormula>
    </tableColumn>
    <tableColumn id="7" xr3:uid="{00000000-0010-0000-0300-000007000000}" name="Tipo" dataDxfId="21">
      <calculatedColumnFormula>VLOOKUP(TbAportes[[#This Row],[Ativo]],TbAtivos!$C$3:$E$500,2,FALSE)</calculatedColumnFormula>
    </tableColumn>
    <tableColumn id="8" xr3:uid="{00000000-0010-0000-0300-000008000000}" name="Ano" dataDxfId="20">
      <calculatedColumnFormula>YEAR(TbAportes[[#This Row],[Data]])</calculatedColumnFormula>
    </tableColumn>
    <tableColumn id="9" xr3:uid="{00000000-0010-0000-0300-000009000000}" name="Mês" dataDxfId="19">
      <calculatedColumnFormula>MONTH(TbAportes[[#This Row],[Data]])</calculatedColumnFormula>
    </tableColumn>
    <tableColumn id="10" xr3:uid="{00000000-0010-0000-0300-00000A000000}" name="Ano/Mês" dataDxfId="18">
      <calculatedColumnFormula>CONCATENATE(TbAportes[[#This Row],[Ano]],"/",IF(TbAportes[[#This Row],[Mês]]&lt;10,"0",""),TbAportes[[#This Row],[Mês]])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bProventos" displayName="TbProventos" ref="B2:J73" totalsRowShown="0" headerRowDxfId="17" dataDxfId="16">
  <autoFilter ref="B2:J73" xr:uid="{00000000-0009-0000-0100-000002000000}"/>
  <tableColumns count="9">
    <tableColumn id="1" xr3:uid="{00000000-0010-0000-0400-000001000000}" name="Cod" dataDxfId="15"/>
    <tableColumn id="2" xr3:uid="{00000000-0010-0000-0400-000002000000}" name="Ativo" dataDxfId="14"/>
    <tableColumn id="3" xr3:uid="{00000000-0010-0000-0400-000003000000}" name="Qte" dataDxfId="13"/>
    <tableColumn id="4" xr3:uid="{00000000-0010-0000-0400-000004000000}" name="Valor Bruto" dataDxfId="12"/>
    <tableColumn id="5" xr3:uid="{00000000-0010-0000-0400-000005000000}" name="IR" dataDxfId="11"/>
    <tableColumn id="6" xr3:uid="{00000000-0010-0000-0400-000006000000}" name="Valor Líquido" dataDxfId="10"/>
    <tableColumn id="7" xr3:uid="{00000000-0010-0000-0400-000007000000}" name="Data" dataDxfId="9"/>
    <tableColumn id="8" xr3:uid="{00000000-0010-0000-0400-000008000000}" name="Ano/Mês" dataDxfId="8">
      <calculatedColumnFormula>CONCATENATE(YEAR(TbProventos[[#This Row],[Data]]),"/",IF(MONTH(TbProventos[[#This Row],[Data]])&lt;10,"0",""),MONTH(TbProventos[[#This Row],[Data]]))</calculatedColumnFormula>
    </tableColumn>
    <tableColumn id="9" xr3:uid="{00000000-0010-0000-0400-000009000000}" name="Tipo" dataDxfId="7">
      <calculatedColumnFormula>VLOOKUP(TbProventos[[#This Row],[Ativo]],TbAtivos!$C$3:$E$500,2,FALSE)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1C90F9-3B9E-4E91-BE24-FCC3052A956B}" name="TbAtivos" displayName="TbAtivos" ref="C2:E11" totalsRowShown="0">
  <autoFilter ref="C2:E11" xr:uid="{B61C90F9-3B9E-4E91-BE24-FCC3052A956B}"/>
  <tableColumns count="3">
    <tableColumn id="1" xr3:uid="{73F79099-3767-4918-BCB6-3748CE1575E0}" name="ATIVO"/>
    <tableColumn id="2" xr3:uid="{0259F8B2-27F9-437B-BCCA-748214503A08}" name="TIPO"/>
    <tableColumn id="3" xr3:uid="{D99F8A92-D91E-4D01-BA33-B5E7D079D85D}" name="COT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workbookViewId="0">
      <selection activeCell="E1" sqref="E1"/>
    </sheetView>
  </sheetViews>
  <sheetFormatPr defaultRowHeight="15" x14ac:dyDescent="0.25"/>
  <cols>
    <col min="1" max="1" width="2.7109375" customWidth="1"/>
    <col min="2" max="2" width="33.28515625" customWidth="1"/>
    <col min="3" max="3" width="2.140625" customWidth="1"/>
    <col min="4" max="4" width="17.5703125" customWidth="1"/>
    <col min="5" max="5" width="24" customWidth="1"/>
    <col min="6" max="6" width="50.7109375" customWidth="1"/>
    <col min="7" max="7" width="19.42578125" customWidth="1"/>
    <col min="8" max="8" width="29.5703125" customWidth="1"/>
  </cols>
  <sheetData>
    <row r="1" spans="1:8" ht="27" customHeight="1" x14ac:dyDescent="0.25">
      <c r="A1" s="13"/>
      <c r="B1" s="13"/>
      <c r="C1" s="13"/>
      <c r="D1" s="15" t="s">
        <v>59</v>
      </c>
      <c r="E1" s="32">
        <v>20000</v>
      </c>
      <c r="F1" s="13"/>
      <c r="G1" s="16" t="s">
        <v>60</v>
      </c>
      <c r="H1" s="17">
        <f ca="1">IF(ReCarteira!M2="",TODAY(),ReCarteira!M2)</f>
        <v>46036</v>
      </c>
    </row>
    <row r="2" spans="1:8" ht="12.75" customHeight="1" thickBot="1" x14ac:dyDescent="0.3">
      <c r="A2" s="14"/>
      <c r="B2" s="14"/>
      <c r="C2" s="14"/>
      <c r="D2" s="14"/>
      <c r="E2" s="14"/>
      <c r="F2" s="14"/>
      <c r="G2" s="14"/>
      <c r="H2" s="14"/>
    </row>
    <row r="4" spans="1:8" ht="15.75" thickBot="1" x14ac:dyDescent="0.3">
      <c r="B4" s="19" t="s">
        <v>58</v>
      </c>
    </row>
    <row r="5" spans="1:8" ht="37.5" customHeight="1" thickBot="1" x14ac:dyDescent="0.3">
      <c r="B5" s="29">
        <f ca="1">DashBoardAux!C13</f>
        <v>27838.05</v>
      </c>
    </row>
    <row r="7" spans="1:8" ht="15.75" thickBot="1" x14ac:dyDescent="0.3">
      <c r="B7" s="19" t="s">
        <v>51</v>
      </c>
    </row>
    <row r="8" spans="1:8" ht="37.5" customHeight="1" thickBot="1" x14ac:dyDescent="0.3">
      <c r="B8" s="29">
        <f ca="1">DashBoardAux!C12</f>
        <v>26791.03</v>
      </c>
    </row>
    <row r="10" spans="1:8" ht="15.75" thickBot="1" x14ac:dyDescent="0.3">
      <c r="B10" s="19" t="s">
        <v>55</v>
      </c>
    </row>
    <row r="11" spans="1:8" ht="37.5" customHeight="1" thickBot="1" x14ac:dyDescent="0.3">
      <c r="B11" s="29">
        <f ca="1">DashBoardAux!C14</f>
        <v>1047.0199999999991</v>
      </c>
    </row>
    <row r="13" spans="1:8" ht="15.75" thickBot="1" x14ac:dyDescent="0.3">
      <c r="B13" s="19" t="s">
        <v>56</v>
      </c>
    </row>
    <row r="14" spans="1:8" ht="37.5" customHeight="1" thickBot="1" x14ac:dyDescent="0.3">
      <c r="B14" s="18">
        <f ca="1">DashBoardAux!C15</f>
        <v>3.9080990913749947E-2</v>
      </c>
    </row>
  </sheetData>
  <sheetProtection sheet="1" objects="1" scenarios="1" selectLockedCells="1"/>
  <conditionalFormatting sqref="B11 B14">
    <cfRule type="cellIs" dxfId="6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0</xdr:row>
                    <xdr:rowOff>9525</xdr:rowOff>
                  </from>
                  <to>
                    <xdr:col>2</xdr:col>
                    <xdr:colOff>0</xdr:colOff>
                    <xdr:row>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E26"/>
  <sheetViews>
    <sheetView zoomScale="110" zoomScaleNormal="110" workbookViewId="0"/>
  </sheetViews>
  <sheetFormatPr defaultRowHeight="15" x14ac:dyDescent="0.25"/>
  <cols>
    <col min="1" max="1" width="2.28515625" customWidth="1"/>
    <col min="2" max="2" width="19.7109375" customWidth="1"/>
    <col min="3" max="3" width="18.7109375" customWidth="1"/>
    <col min="4" max="4" width="2.85546875" customWidth="1"/>
    <col min="6" max="6" width="15.140625" customWidth="1"/>
    <col min="7" max="7" width="15" customWidth="1"/>
    <col min="8" max="8" width="15.140625" customWidth="1"/>
    <col min="9" max="9" width="13.85546875" customWidth="1"/>
    <col min="10" max="10" width="3.28515625" customWidth="1"/>
    <col min="11" max="11" width="15" customWidth="1"/>
    <col min="12" max="12" width="21.85546875" customWidth="1"/>
    <col min="13" max="13" width="2.85546875" customWidth="1"/>
    <col min="17" max="17" width="2.85546875" customWidth="1"/>
    <col min="20" max="20" width="15.85546875" customWidth="1"/>
    <col min="22" max="22" width="3.5703125" customWidth="1"/>
    <col min="25" max="25" width="13.5703125" customWidth="1"/>
    <col min="26" max="26" width="7.85546875" bestFit="1" customWidth="1"/>
    <col min="27" max="27" width="3.28515625" customWidth="1"/>
    <col min="30" max="30" width="13.140625" customWidth="1"/>
    <col min="31" max="31" width="7.85546875" bestFit="1" customWidth="1"/>
  </cols>
  <sheetData>
    <row r="2" spans="2:31" x14ac:dyDescent="0.25">
      <c r="B2" s="22" t="s">
        <v>61</v>
      </c>
      <c r="C2" s="22"/>
      <c r="E2" s="22" t="s">
        <v>68</v>
      </c>
      <c r="F2" s="22"/>
      <c r="G2" s="22"/>
      <c r="H2" s="22"/>
      <c r="I2" s="22"/>
      <c r="K2" s="22" t="s">
        <v>70</v>
      </c>
      <c r="L2" s="22"/>
      <c r="N2" s="22" t="s">
        <v>72</v>
      </c>
      <c r="O2" s="22"/>
      <c r="P2" s="22"/>
      <c r="R2" s="22" t="s">
        <v>75</v>
      </c>
      <c r="S2" s="22"/>
      <c r="T2" s="22"/>
      <c r="U2" s="22"/>
      <c r="W2" s="22" t="s">
        <v>77</v>
      </c>
      <c r="X2" s="22"/>
      <c r="Y2" s="22"/>
      <c r="Z2" s="22"/>
      <c r="AB2" s="22" t="s">
        <v>78</v>
      </c>
      <c r="AC2" s="22"/>
      <c r="AD2" s="22"/>
      <c r="AE2" s="22"/>
    </row>
    <row r="3" spans="2:31" x14ac:dyDescent="0.25">
      <c r="B3" s="21">
        <v>1</v>
      </c>
      <c r="C3" s="20" t="s">
        <v>62</v>
      </c>
      <c r="E3" s="26"/>
      <c r="F3" s="26"/>
      <c r="G3" s="27">
        <v>1</v>
      </c>
      <c r="H3" s="27">
        <v>2</v>
      </c>
      <c r="I3" s="27">
        <v>3</v>
      </c>
      <c r="K3" s="30" t="s">
        <v>63</v>
      </c>
      <c r="L3" s="24">
        <f ca="1">H6</f>
        <v>17506</v>
      </c>
      <c r="N3" s="21" t="s">
        <v>73</v>
      </c>
      <c r="O3" s="21" t="s">
        <v>17</v>
      </c>
      <c r="P3" s="21" t="s">
        <v>74</v>
      </c>
      <c r="R3" s="21" t="s">
        <v>73</v>
      </c>
      <c r="S3" s="21" t="s">
        <v>17</v>
      </c>
      <c r="T3" s="21" t="s">
        <v>74</v>
      </c>
      <c r="U3" s="21" t="s">
        <v>76</v>
      </c>
      <c r="W3" s="21" t="s">
        <v>73</v>
      </c>
      <c r="X3" s="21" t="s">
        <v>17</v>
      </c>
      <c r="Y3" s="21" t="s">
        <v>74</v>
      </c>
      <c r="Z3" s="21" t="s">
        <v>76</v>
      </c>
      <c r="AB3" s="21" t="s">
        <v>73</v>
      </c>
      <c r="AC3" s="21" t="s">
        <v>17</v>
      </c>
      <c r="AD3" s="21" t="s">
        <v>74</v>
      </c>
      <c r="AE3" s="21" t="s">
        <v>76</v>
      </c>
    </row>
    <row r="4" spans="2:31" x14ac:dyDescent="0.25">
      <c r="B4" s="21">
        <v>2</v>
      </c>
      <c r="C4" s="20" t="s">
        <v>63</v>
      </c>
      <c r="E4" s="21"/>
      <c r="F4" s="21"/>
      <c r="G4" s="28" t="s">
        <v>62</v>
      </c>
      <c r="H4" s="28" t="s">
        <v>63</v>
      </c>
      <c r="I4" s="28" t="s">
        <v>10</v>
      </c>
      <c r="K4" s="30" t="s">
        <v>10</v>
      </c>
      <c r="L4" s="24">
        <f ca="1">I6</f>
        <v>10332.049999999999</v>
      </c>
      <c r="N4" s="20">
        <v>10</v>
      </c>
      <c r="O4" s="20" t="str">
        <f ca="1">IF($C$8=1,S4,IF($C$8=2,X4,AC4))</f>
        <v>-</v>
      </c>
      <c r="P4" s="20">
        <f ca="1">IF($C$8=1,T4,IF($C$8=2,Y4,AD4))</f>
        <v>0</v>
      </c>
      <c r="R4" s="20">
        <v>10</v>
      </c>
      <c r="S4" s="20" t="str">
        <f ca="1">IF(ISNA(INDEX(TbCarteira[Ativo],U4,1)),"-",INDEX(TbCarteira[Ativo],U4,1))</f>
        <v>-</v>
      </c>
      <c r="T4" s="24">
        <f ca="1">IF(ISNUMBER(LARGE(TbCarteira[Total atual],R4)),LARGE(TbCarteira[Total atual],R4),0)</f>
        <v>0</v>
      </c>
      <c r="U4" s="20" t="e">
        <f ca="1">MATCH(T4,TbCarteira[Total atual],0)</f>
        <v>#N/A</v>
      </c>
      <c r="W4" s="20">
        <v>10</v>
      </c>
      <c r="X4" s="20" t="str">
        <f ca="1">IF(ISNA(INDEX(TbCarteiraAcoes[Ativo],Z4,1)),"-",INDEX(TbCarteiraAcoes[Ativo],Z4,1))</f>
        <v>-</v>
      </c>
      <c r="Y4" s="24">
        <f ca="1">IF(ISNUMBER(LARGE(TbCarteiraAcoes[Total atual],W4)),LARGE(TbCarteiraAcoes[Total atual],W4),0)</f>
        <v>0</v>
      </c>
      <c r="Z4" s="20" t="e">
        <f ca="1">MATCH(Y4,TbCarteiraAcoes[Total atual],0)</f>
        <v>#N/A</v>
      </c>
      <c r="AB4" s="20">
        <v>10</v>
      </c>
      <c r="AC4" s="20" t="str">
        <f ca="1">IF(ISNA(INDEX(TbCarteiraFII[Ativo],AE4,1)),"-",INDEX(TbCarteiraFII[Ativo],AE4,1))</f>
        <v>-</v>
      </c>
      <c r="AD4" s="24">
        <f ca="1">IF(ISNUMBER(LARGE(TbCarteiraFII[Total atual],AB4)),LARGE(TbCarteiraFII[Total atual],AB4),0)</f>
        <v>0</v>
      </c>
      <c r="AE4" s="20" t="e">
        <f ca="1">MATCH(AD4,TbCarteiraFII[Total atual],0)</f>
        <v>#N/A</v>
      </c>
    </row>
    <row r="5" spans="2:31" x14ac:dyDescent="0.25">
      <c r="B5" s="21">
        <v>3</v>
      </c>
      <c r="C5" s="20" t="s">
        <v>64</v>
      </c>
      <c r="E5" s="21">
        <v>1</v>
      </c>
      <c r="F5" s="21" t="s">
        <v>51</v>
      </c>
      <c r="G5" s="24">
        <f ca="1">SUM(TbCarteira[Total aportado])</f>
        <v>26791.03</v>
      </c>
      <c r="H5" s="24">
        <f ca="1">SUMIF(TbCarteira[Tipo],"EMPRESA",TbCarteira[Total aportado])</f>
        <v>17598</v>
      </c>
      <c r="I5" s="24">
        <f ca="1">SUMIF(TbCarteira[Tipo],"FII",TbCarteira[Total aportado])</f>
        <v>9193.0299999999988</v>
      </c>
      <c r="K5" s="30" t="s">
        <v>71</v>
      </c>
      <c r="L5" s="24">
        <f>C9</f>
        <v>20000</v>
      </c>
      <c r="N5" s="20">
        <v>9</v>
      </c>
      <c r="O5" s="20" t="str">
        <f t="shared" ref="O5:O13" ca="1" si="0">IF($C$8=1,S5,IF($C$8=2,X5,AC5))</f>
        <v>HGBS11</v>
      </c>
      <c r="P5" s="20">
        <f t="shared" ref="P5:P13" ca="1" si="1">IF($C$8=1,T5,IF($C$8=2,Y5,AD5))</f>
        <v>1754.82</v>
      </c>
      <c r="R5" s="20">
        <v>9</v>
      </c>
      <c r="S5" s="20" t="str">
        <f ca="1">IF(ISNA(INDEX(TbCarteira[Ativo],U5,1)),"-",INDEX(TbCarteira[Ativo],U5,1))</f>
        <v>HGBS11</v>
      </c>
      <c r="T5" s="24">
        <f ca="1">IF(ISNUMBER(LARGE(TbCarteira[Total atual],R5)),LARGE(TbCarteira[Total atual],R5),0)</f>
        <v>1754.82</v>
      </c>
      <c r="U5" s="20">
        <f ca="1">MATCH(T5,TbCarteira[Total atual],0)</f>
        <v>5</v>
      </c>
      <c r="W5" s="20">
        <v>9</v>
      </c>
      <c r="X5" s="20" t="str">
        <f ca="1">IF(ISNA(INDEX(TbCarteiraAcoes[Ativo],Z5,1)),"-",INDEX(TbCarteiraAcoes[Ativo],Z5,1))</f>
        <v>-</v>
      </c>
      <c r="Y5" s="24">
        <f ca="1">IF(ISNUMBER(LARGE(TbCarteiraAcoes[Total atual],W5)),LARGE(TbCarteiraAcoes[Total atual],W5),0)</f>
        <v>0</v>
      </c>
      <c r="Z5" s="20" t="e">
        <f ca="1">MATCH(Y5,TbCarteiraAcoes[Total atual],0)</f>
        <v>#N/A</v>
      </c>
      <c r="AB5" s="20">
        <v>9</v>
      </c>
      <c r="AC5" s="20" t="str">
        <f ca="1">IF(ISNA(INDEX(TbCarteiraFII[Ativo],AE5,1)),"-",INDEX(TbCarteiraFII[Ativo],AE5,1))</f>
        <v>-</v>
      </c>
      <c r="AD5" s="24">
        <f ca="1">IF(ISNUMBER(LARGE(TbCarteiraFII[Total atual],AB5)),LARGE(TbCarteiraFII[Total atual],AB5),0)</f>
        <v>0</v>
      </c>
      <c r="AE5" s="20" t="e">
        <f ca="1">MATCH(AD5,TbCarteiraFII[Total atual],0)</f>
        <v>#N/A</v>
      </c>
    </row>
    <row r="6" spans="2:31" x14ac:dyDescent="0.25">
      <c r="E6" s="21">
        <v>2</v>
      </c>
      <c r="F6" s="21" t="s">
        <v>58</v>
      </c>
      <c r="G6" s="24">
        <f ca="1">SUM(TbCarteira[Total atual])</f>
        <v>27838.05</v>
      </c>
      <c r="H6" s="24">
        <f ca="1">SUMIF(TbCarteira[Tipo],"EMPRESA",TbCarteira[Total atual])</f>
        <v>17506</v>
      </c>
      <c r="I6" s="24">
        <f ca="1">SUMIF(TbCarteira[Tipo],"FII",TbCarteira[Total atual])</f>
        <v>10332.049999999999</v>
      </c>
      <c r="N6" s="20">
        <v>8</v>
      </c>
      <c r="O6" s="20" t="str">
        <f t="shared" ca="1" si="0"/>
        <v>TAEE4</v>
      </c>
      <c r="P6" s="20">
        <f t="shared" ca="1" si="1"/>
        <v>1810.0000000000002</v>
      </c>
      <c r="R6" s="20">
        <v>8</v>
      </c>
      <c r="S6" s="20" t="str">
        <f ca="1">IF(ISNA(INDEX(TbCarteira[Ativo],U6,1)),"-",INDEX(TbCarteira[Ativo],U6,1))</f>
        <v>TAEE4</v>
      </c>
      <c r="T6" s="24">
        <f ca="1">IF(ISNUMBER(LARGE(TbCarteira[Total atual],R6)),LARGE(TbCarteira[Total atual],R6),0)</f>
        <v>1810.0000000000002</v>
      </c>
      <c r="U6" s="20">
        <f ca="1">MATCH(T6,TbCarteira[Total atual],0)</f>
        <v>9</v>
      </c>
      <c r="W6" s="20">
        <v>8</v>
      </c>
      <c r="X6" s="20" t="str">
        <f ca="1">IF(ISNA(INDEX(TbCarteiraAcoes[Ativo],Z6,1)),"-",INDEX(TbCarteiraAcoes[Ativo],Z6,1))</f>
        <v>-</v>
      </c>
      <c r="Y6" s="24">
        <f ca="1">IF(ISNUMBER(LARGE(TbCarteiraAcoes[Total atual],W6)),LARGE(TbCarteiraAcoes[Total atual],W6),0)</f>
        <v>0</v>
      </c>
      <c r="Z6" s="20" t="e">
        <f ca="1">MATCH(Y6,TbCarteiraAcoes[Total atual],0)</f>
        <v>#N/A</v>
      </c>
      <c r="AB6" s="20">
        <v>8</v>
      </c>
      <c r="AC6" s="20" t="str">
        <f ca="1">IF(ISNA(INDEX(TbCarteiraFII[Ativo],AE6,1)),"-",INDEX(TbCarteiraFII[Ativo],AE6,1))</f>
        <v>-</v>
      </c>
      <c r="AD6" s="24">
        <f ca="1">IF(ISNUMBER(LARGE(TbCarteiraFII[Total atual],AB6)),LARGE(TbCarteiraFII[Total atual],AB6),0)</f>
        <v>0</v>
      </c>
      <c r="AE6" s="20" t="e">
        <f ca="1">MATCH(AD6,TbCarteiraFII[Total atual],0)</f>
        <v>#N/A</v>
      </c>
    </row>
    <row r="7" spans="2:31" x14ac:dyDescent="0.25">
      <c r="B7" s="22" t="s">
        <v>65</v>
      </c>
      <c r="C7" s="22"/>
      <c r="E7" s="21">
        <v>3</v>
      </c>
      <c r="F7" s="21" t="s">
        <v>55</v>
      </c>
      <c r="G7" s="24">
        <f ca="1">SUM(TbCarteira[Valorização])</f>
        <v>1047.0199999999991</v>
      </c>
      <c r="H7" s="24">
        <f ca="1">H6-H5</f>
        <v>-92</v>
      </c>
      <c r="I7" s="24">
        <f ca="1">I6-I5</f>
        <v>1139.0200000000004</v>
      </c>
      <c r="N7" s="20">
        <v>7</v>
      </c>
      <c r="O7" s="20" t="str">
        <f t="shared" ca="1" si="0"/>
        <v>CSNA3</v>
      </c>
      <c r="P7" s="20">
        <f t="shared" ca="1" si="1"/>
        <v>2364</v>
      </c>
      <c r="R7" s="20">
        <v>7</v>
      </c>
      <c r="S7" s="20" t="str">
        <f ca="1">IF(ISNA(INDEX(TbCarteira[Ativo],U7,1)),"-",INDEX(TbCarteira[Ativo],U7,1))</f>
        <v>CSNA3</v>
      </c>
      <c r="T7" s="24">
        <f ca="1">IF(ISNUMBER(LARGE(TbCarteira[Total atual],R7)),LARGE(TbCarteira[Total atual],R7),0)</f>
        <v>2364</v>
      </c>
      <c r="U7" s="20">
        <f ca="1">MATCH(T7,TbCarteira[Total atual],0)</f>
        <v>1</v>
      </c>
      <c r="W7" s="20">
        <v>7</v>
      </c>
      <c r="X7" s="20" t="str">
        <f ca="1">IF(ISNA(INDEX(TbCarteiraAcoes[Ativo],Z7,1)),"-",INDEX(TbCarteiraAcoes[Ativo],Z7,1))</f>
        <v>-</v>
      </c>
      <c r="Y7" s="24">
        <f ca="1">IF(ISNUMBER(LARGE(TbCarteiraAcoes[Total atual],W7)),LARGE(TbCarteiraAcoes[Total atual],W7),0)</f>
        <v>0</v>
      </c>
      <c r="Z7" s="20" t="e">
        <f ca="1">MATCH(Y7,TbCarteiraAcoes[Total atual],0)</f>
        <v>#N/A</v>
      </c>
      <c r="AB7" s="20">
        <v>7</v>
      </c>
      <c r="AC7" s="20" t="str">
        <f ca="1">IF(ISNA(INDEX(TbCarteiraFII[Ativo],AE7,1)),"-",INDEX(TbCarteiraFII[Ativo],AE7,1))</f>
        <v>-</v>
      </c>
      <c r="AD7" s="24">
        <f ca="1">IF(ISNUMBER(LARGE(TbCarteiraFII[Total atual],AB7)),LARGE(TbCarteiraFII[Total atual],AB7),0)</f>
        <v>0</v>
      </c>
      <c r="AE7" s="20" t="e">
        <f ca="1">MATCH(AD7,TbCarteiraFII[Total atual],0)</f>
        <v>#N/A</v>
      </c>
    </row>
    <row r="8" spans="2:31" x14ac:dyDescent="0.25">
      <c r="B8" s="21" t="s">
        <v>66</v>
      </c>
      <c r="C8" s="20">
        <v>1</v>
      </c>
      <c r="E8" s="21">
        <v>4</v>
      </c>
      <c r="F8" s="21" t="s">
        <v>56</v>
      </c>
      <c r="G8" s="25">
        <f ca="1">G6/G5-1</f>
        <v>3.9080990913749947E-2</v>
      </c>
      <c r="H8" s="25">
        <f ca="1">H6/H5-1</f>
        <v>-5.2278668030457665E-3</v>
      </c>
      <c r="I8" s="25">
        <f ca="1">I6/I5-1</f>
        <v>0.12390038975180118</v>
      </c>
      <c r="N8" s="20">
        <v>6</v>
      </c>
      <c r="O8" s="20" t="str">
        <f t="shared" ca="1" si="0"/>
        <v>ITSA4</v>
      </c>
      <c r="P8" s="20">
        <f t="shared" ca="1" si="1"/>
        <v>2442</v>
      </c>
      <c r="R8" s="20">
        <v>6</v>
      </c>
      <c r="S8" s="20" t="str">
        <f ca="1">IF(ISNA(INDEX(TbCarteira[Ativo],U8,1)),"-",INDEX(TbCarteira[Ativo],U8,1))</f>
        <v>ITSA4</v>
      </c>
      <c r="T8" s="24">
        <f ca="1">IF(ISNUMBER(LARGE(TbCarteira[Total atual],R8)),LARGE(TbCarteira[Total atual],R8),0)</f>
        <v>2442</v>
      </c>
      <c r="U8" s="20">
        <f ca="1">MATCH(T8,TbCarteira[Total atual],0)</f>
        <v>3</v>
      </c>
      <c r="W8" s="20">
        <v>6</v>
      </c>
      <c r="X8" s="20" t="str">
        <f ca="1">IF(ISNA(INDEX(TbCarteiraAcoes[Ativo],Z8,1)),"-",INDEX(TbCarteiraAcoes[Ativo],Z8,1))</f>
        <v>-</v>
      </c>
      <c r="Y8" s="24">
        <f ca="1">IF(ISNUMBER(LARGE(TbCarteiraAcoes[Total atual],W8)),LARGE(TbCarteiraAcoes[Total atual],W8),0)</f>
        <v>0</v>
      </c>
      <c r="Z8" s="20" t="e">
        <f ca="1">MATCH(Y8,TbCarteiraAcoes[Total atual],0)</f>
        <v>#N/A</v>
      </c>
      <c r="AB8" s="20">
        <v>6</v>
      </c>
      <c r="AC8" s="20" t="str">
        <f ca="1">IF(ISNA(INDEX(TbCarteiraFII[Ativo],AE8,1)),"-",INDEX(TbCarteiraFII[Ativo],AE8,1))</f>
        <v>-</v>
      </c>
      <c r="AD8" s="24">
        <f ca="1">IF(ISNUMBER(LARGE(TbCarteiraFII[Total atual],AB8)),LARGE(TbCarteiraFII[Total atual],AB8),0)</f>
        <v>0</v>
      </c>
      <c r="AE8" s="20" t="e">
        <f ca="1">MATCH(AD8,TbCarteiraFII[Total atual],0)</f>
        <v>#N/A</v>
      </c>
    </row>
    <row r="9" spans="2:31" x14ac:dyDescent="0.25">
      <c r="B9" s="21" t="s">
        <v>67</v>
      </c>
      <c r="C9" s="23">
        <f>DashBoard!E1</f>
        <v>20000</v>
      </c>
      <c r="N9" s="20">
        <v>5</v>
      </c>
      <c r="O9" s="20" t="str">
        <f t="shared" ca="1" si="0"/>
        <v>HGRE11</v>
      </c>
      <c r="P9" s="20">
        <f t="shared" ca="1" si="1"/>
        <v>2696.86</v>
      </c>
      <c r="R9" s="20">
        <v>5</v>
      </c>
      <c r="S9" s="20" t="str">
        <f ca="1">IF(ISNA(INDEX(TbCarteira[Ativo],U9,1)),"-",INDEX(TbCarteira[Ativo],U9,1))</f>
        <v>HGRE11</v>
      </c>
      <c r="T9" s="24">
        <f ca="1">IF(ISNUMBER(LARGE(TbCarteira[Total atual],R9)),LARGE(TbCarteira[Total atual],R9),0)</f>
        <v>2696.86</v>
      </c>
      <c r="U9" s="20">
        <f ca="1">MATCH(T9,TbCarteira[Total atual],0)</f>
        <v>7</v>
      </c>
      <c r="W9" s="20">
        <v>5</v>
      </c>
      <c r="X9" s="20" t="str">
        <f ca="1">IF(ISNA(INDEX(TbCarteiraAcoes[Ativo],Z9,1)),"-",INDEX(TbCarteiraAcoes[Ativo],Z9,1))</f>
        <v>TAEE4</v>
      </c>
      <c r="Y9" s="24">
        <f ca="1">IF(ISNUMBER(LARGE(TbCarteiraAcoes[Total atual],W9)),LARGE(TbCarteiraAcoes[Total atual],W9),0)</f>
        <v>1810.0000000000002</v>
      </c>
      <c r="Z9" s="20">
        <f ca="1">MATCH(Y9,TbCarteiraAcoes[Total atual],0)</f>
        <v>5</v>
      </c>
      <c r="AB9" s="20">
        <v>5</v>
      </c>
      <c r="AC9" s="20" t="str">
        <f ca="1">IF(ISNA(INDEX(TbCarteiraFII[Ativo],AE9,1)),"-",INDEX(TbCarteiraFII[Ativo],AE9,1))</f>
        <v>-</v>
      </c>
      <c r="AD9" s="24">
        <f ca="1">IF(ISNUMBER(LARGE(TbCarteiraFII[Total atual],AB9)),LARGE(TbCarteiraFII[Total atual],AB9),0)</f>
        <v>0</v>
      </c>
      <c r="AE9" s="20" t="e">
        <f ca="1">MATCH(AD9,TbCarteiraFII[Total atual],0)</f>
        <v>#N/A</v>
      </c>
    </row>
    <row r="10" spans="2:31" x14ac:dyDescent="0.25">
      <c r="N10" s="20">
        <v>4</v>
      </c>
      <c r="O10" s="20" t="str">
        <f t="shared" ca="1" si="0"/>
        <v>KNRI11</v>
      </c>
      <c r="P10" s="20">
        <f t="shared" ca="1" si="1"/>
        <v>2914.38</v>
      </c>
      <c r="R10" s="20">
        <v>4</v>
      </c>
      <c r="S10" s="20" t="str">
        <f ca="1">IF(ISNA(INDEX(TbCarteira[Ativo],U10,1)),"-",INDEX(TbCarteira[Ativo],U10,1))</f>
        <v>KNRI11</v>
      </c>
      <c r="T10" s="24">
        <f ca="1">IF(ISNUMBER(LARGE(TbCarteira[Total atual],R10)),LARGE(TbCarteira[Total atual],R10),0)</f>
        <v>2914.38</v>
      </c>
      <c r="U10" s="20">
        <f ca="1">MATCH(T10,TbCarteira[Total atual],0)</f>
        <v>8</v>
      </c>
      <c r="W10" s="20">
        <v>4</v>
      </c>
      <c r="X10" s="20" t="str">
        <f ca="1">IF(ISNA(INDEX(TbCarteiraAcoes[Ativo],Z10,1)),"-",INDEX(TbCarteiraAcoes[Ativo],Z10,1))</f>
        <v>CSNA3</v>
      </c>
      <c r="Y10" s="24">
        <f ca="1">IF(ISNUMBER(LARGE(TbCarteiraAcoes[Total atual],W10)),LARGE(TbCarteiraAcoes[Total atual],W10),0)</f>
        <v>2364</v>
      </c>
      <c r="Z10" s="20">
        <f ca="1">MATCH(Y10,TbCarteiraAcoes[Total atual],0)</f>
        <v>1</v>
      </c>
      <c r="AB10" s="20">
        <v>4</v>
      </c>
      <c r="AC10" s="20" t="str">
        <f ca="1">IF(ISNA(INDEX(TbCarteiraFII[Ativo],AE10,1)),"-",INDEX(TbCarteiraFII[Ativo],AE10,1))</f>
        <v>HGBS11</v>
      </c>
      <c r="AD10" s="24">
        <f ca="1">IF(ISNUMBER(LARGE(TbCarteiraFII[Total atual],AB10)),LARGE(TbCarteiraFII[Total atual],AB10),0)</f>
        <v>1754.82</v>
      </c>
      <c r="AE10" s="20">
        <f ca="1">MATCH(AD10,TbCarteiraFII[Total atual],0)</f>
        <v>1</v>
      </c>
    </row>
    <row r="11" spans="2:31" x14ac:dyDescent="0.25">
      <c r="B11" s="22" t="s">
        <v>69</v>
      </c>
      <c r="C11" s="22"/>
      <c r="N11" s="20">
        <v>3</v>
      </c>
      <c r="O11" s="20" t="str">
        <f t="shared" ca="1" si="0"/>
        <v>HGLG11</v>
      </c>
      <c r="P11" s="20">
        <f t="shared" ca="1" si="1"/>
        <v>2965.99</v>
      </c>
      <c r="R11" s="20">
        <v>3</v>
      </c>
      <c r="S11" s="20" t="str">
        <f ca="1">IF(ISNA(INDEX(TbCarteira[Ativo],U11,1)),"-",INDEX(TbCarteira[Ativo],U11,1))</f>
        <v>HGLG11</v>
      </c>
      <c r="T11" s="24">
        <f ca="1">IF(ISNUMBER(LARGE(TbCarteira[Total atual],R11)),LARGE(TbCarteira[Total atual],R11),0)</f>
        <v>2965.99</v>
      </c>
      <c r="U11" s="20">
        <f ca="1">MATCH(T11,TbCarteira[Total atual],0)</f>
        <v>6</v>
      </c>
      <c r="W11" s="20">
        <v>3</v>
      </c>
      <c r="X11" s="20" t="str">
        <f ca="1">IF(ISNA(INDEX(TbCarteiraAcoes[Ativo],Z11,1)),"-",INDEX(TbCarteiraAcoes[Ativo],Z11,1))</f>
        <v>ITSA4</v>
      </c>
      <c r="Y11" s="24">
        <f ca="1">IF(ISNUMBER(LARGE(TbCarteiraAcoes[Total atual],W11)),LARGE(TbCarteiraAcoes[Total atual],W11),0)</f>
        <v>2442</v>
      </c>
      <c r="Z11" s="20">
        <f ca="1">MATCH(Y11,TbCarteiraAcoes[Total atual],0)</f>
        <v>3</v>
      </c>
      <c r="AB11" s="20">
        <v>3</v>
      </c>
      <c r="AC11" s="20" t="str">
        <f ca="1">IF(ISNA(INDEX(TbCarteiraFII[Ativo],AE11,1)),"-",INDEX(TbCarteiraFII[Ativo],AE11,1))</f>
        <v>HGRE11</v>
      </c>
      <c r="AD11" s="24">
        <f ca="1">IF(ISNUMBER(LARGE(TbCarteiraFII[Total atual],AB11)),LARGE(TbCarteiraFII[Total atual],AB11),0)</f>
        <v>2696.86</v>
      </c>
      <c r="AE11" s="20">
        <f ca="1">MATCH(AD11,TbCarteiraFII[Total atual],0)</f>
        <v>3</v>
      </c>
    </row>
    <row r="12" spans="2:31" x14ac:dyDescent="0.25">
      <c r="B12" s="21" t="s">
        <v>51</v>
      </c>
      <c r="C12" s="24">
        <f ca="1">INDEX($G$5:$I$8,E5,$C$8)</f>
        <v>26791.03</v>
      </c>
      <c r="N12" s="20">
        <v>2</v>
      </c>
      <c r="O12" s="20" t="str">
        <f t="shared" ca="1" si="0"/>
        <v>FLRY3</v>
      </c>
      <c r="P12" s="20">
        <f t="shared" ca="1" si="1"/>
        <v>4029.9999999999995</v>
      </c>
      <c r="R12" s="20">
        <v>2</v>
      </c>
      <c r="S12" s="20" t="str">
        <f ca="1">IF(ISNA(INDEX(TbCarteira[Ativo],U12,1)),"-",INDEX(TbCarteira[Ativo],U12,1))</f>
        <v>FLRY3</v>
      </c>
      <c r="T12" s="24">
        <f ca="1">IF(ISNUMBER(LARGE(TbCarteira[Total atual],R12)),LARGE(TbCarteira[Total atual],R12),0)</f>
        <v>4029.9999999999995</v>
      </c>
      <c r="U12" s="20">
        <f ca="1">MATCH(T12,TbCarteira[Total atual],0)</f>
        <v>2</v>
      </c>
      <c r="W12" s="20">
        <v>2</v>
      </c>
      <c r="X12" s="20" t="str">
        <f ca="1">IF(ISNA(INDEX(TbCarteiraAcoes[Ativo],Z12,1)),"-",INDEX(TbCarteiraAcoes[Ativo],Z12,1))</f>
        <v>FLRY3</v>
      </c>
      <c r="Y12" s="24">
        <f ca="1">IF(ISNUMBER(LARGE(TbCarteiraAcoes[Total atual],W12)),LARGE(TbCarteiraAcoes[Total atual],W12),0)</f>
        <v>4029.9999999999995</v>
      </c>
      <c r="Z12" s="20">
        <f ca="1">MATCH(Y12,TbCarteiraAcoes[Total atual],0)</f>
        <v>2</v>
      </c>
      <c r="AB12" s="20">
        <v>2</v>
      </c>
      <c r="AC12" s="20" t="str">
        <f ca="1">IF(ISNA(INDEX(TbCarteiraFII[Ativo],AE12,1)),"-",INDEX(TbCarteiraFII[Ativo],AE12,1))</f>
        <v>KNRI11</v>
      </c>
      <c r="AD12" s="24">
        <f ca="1">IF(ISNUMBER(LARGE(TbCarteiraFII[Total atual],AB12)),LARGE(TbCarteiraFII[Total atual],AB12),0)</f>
        <v>2914.38</v>
      </c>
      <c r="AE12" s="20">
        <f ca="1">MATCH(AD12,TbCarteiraFII[Total atual],0)</f>
        <v>4</v>
      </c>
    </row>
    <row r="13" spans="2:31" x14ac:dyDescent="0.25">
      <c r="B13" s="21" t="s">
        <v>58</v>
      </c>
      <c r="C13" s="24">
        <f t="shared" ref="C13:C15" ca="1" si="2">INDEX($G$5:$I$8,E6,$C$8)</f>
        <v>27838.05</v>
      </c>
      <c r="N13" s="20">
        <v>1</v>
      </c>
      <c r="O13" s="20" t="str">
        <f t="shared" ca="1" si="0"/>
        <v>PETR4</v>
      </c>
      <c r="P13" s="20">
        <f t="shared" ca="1" si="1"/>
        <v>6859.9999999999991</v>
      </c>
      <c r="R13" s="20">
        <v>1</v>
      </c>
      <c r="S13" s="20" t="str">
        <f ca="1">IF(ISNA(INDEX(TbCarteira[Ativo],U13,1)),"-",INDEX(TbCarteira[Ativo],U13,1))</f>
        <v>PETR4</v>
      </c>
      <c r="T13" s="24">
        <f ca="1">IF(ISNUMBER(LARGE(TbCarteira[Total atual],R13)),LARGE(TbCarteira[Total atual],R13),0)</f>
        <v>6859.9999999999991</v>
      </c>
      <c r="U13" s="20">
        <f ca="1">MATCH(T13,TbCarteira[Total atual],0)</f>
        <v>4</v>
      </c>
      <c r="W13" s="20">
        <v>1</v>
      </c>
      <c r="X13" s="20" t="str">
        <f ca="1">IF(ISNA(INDEX(TbCarteiraAcoes[Ativo],Z13,1)),"-",INDEX(TbCarteiraAcoes[Ativo],Z13,1))</f>
        <v>PETR4</v>
      </c>
      <c r="Y13" s="24">
        <f ca="1">IF(ISNUMBER(LARGE(TbCarteiraAcoes[Total atual],W13)),LARGE(TbCarteiraAcoes[Total atual],W13),0)</f>
        <v>6859.9999999999991</v>
      </c>
      <c r="Z13" s="20">
        <f ca="1">MATCH(Y13,TbCarteiraAcoes[Total atual],0)</f>
        <v>4</v>
      </c>
      <c r="AB13" s="20">
        <v>1</v>
      </c>
      <c r="AC13" s="20" t="str">
        <f ca="1">IF(ISNA(INDEX(TbCarteiraFII[Ativo],AE13,1)),"-",INDEX(TbCarteiraFII[Ativo],AE13,1))</f>
        <v>HGLG11</v>
      </c>
      <c r="AD13" s="24">
        <f ca="1">IF(ISNUMBER(LARGE(TbCarteiraFII[Total atual],AB13)),LARGE(TbCarteiraFII[Total atual],AB13),0)</f>
        <v>2965.99</v>
      </c>
      <c r="AE13" s="20">
        <f ca="1">MATCH(AD13,TbCarteiraFII[Total atual],0)</f>
        <v>2</v>
      </c>
    </row>
    <row r="14" spans="2:31" x14ac:dyDescent="0.25">
      <c r="B14" s="21" t="s">
        <v>55</v>
      </c>
      <c r="C14" s="24">
        <f t="shared" ca="1" si="2"/>
        <v>1047.0199999999991</v>
      </c>
    </row>
    <row r="15" spans="2:31" x14ac:dyDescent="0.25">
      <c r="B15" s="21" t="s">
        <v>56</v>
      </c>
      <c r="C15" s="25">
        <f t="shared" ca="1" si="2"/>
        <v>3.9080990913749947E-2</v>
      </c>
      <c r="N15" s="22" t="s">
        <v>79</v>
      </c>
      <c r="O15" s="22"/>
      <c r="P15" s="22"/>
      <c r="R15" s="22" t="s">
        <v>80</v>
      </c>
      <c r="S15" s="22"/>
      <c r="T15" s="22"/>
      <c r="U15" s="22"/>
      <c r="W15" s="22" t="s">
        <v>81</v>
      </c>
      <c r="X15" s="22"/>
      <c r="Y15" s="22"/>
      <c r="Z15" s="22"/>
      <c r="AB15" s="22" t="s">
        <v>82</v>
      </c>
      <c r="AC15" s="22"/>
      <c r="AD15" s="22"/>
      <c r="AE15" s="22"/>
    </row>
    <row r="16" spans="2:31" x14ac:dyDescent="0.25">
      <c r="N16" s="21" t="s">
        <v>73</v>
      </c>
      <c r="O16" s="21" t="s">
        <v>17</v>
      </c>
      <c r="P16" s="21" t="s">
        <v>74</v>
      </c>
      <c r="R16" s="21" t="s">
        <v>73</v>
      </c>
      <c r="S16" s="21" t="s">
        <v>17</v>
      </c>
      <c r="T16" s="21" t="s">
        <v>56</v>
      </c>
      <c r="U16" s="21" t="s">
        <v>76</v>
      </c>
      <c r="W16" s="21" t="s">
        <v>73</v>
      </c>
      <c r="X16" s="21" t="s">
        <v>17</v>
      </c>
      <c r="Y16" s="21" t="s">
        <v>56</v>
      </c>
      <c r="Z16" s="21" t="s">
        <v>76</v>
      </c>
      <c r="AB16" s="21" t="s">
        <v>73</v>
      </c>
      <c r="AC16" s="21" t="s">
        <v>17</v>
      </c>
      <c r="AD16" s="21" t="s">
        <v>56</v>
      </c>
      <c r="AE16" s="21" t="s">
        <v>76</v>
      </c>
    </row>
    <row r="17" spans="14:31" x14ac:dyDescent="0.25">
      <c r="N17" s="20">
        <v>10</v>
      </c>
      <c r="O17" s="20" t="str">
        <f ca="1">IF($C$8=1,S17,IF($C$8=2,X17,AC17))</f>
        <v>-</v>
      </c>
      <c r="P17" s="20">
        <f ca="1">IF($C$8=1,T17,IF($C$8=2,Y17,AD17))</f>
        <v>0</v>
      </c>
      <c r="R17" s="20">
        <v>10</v>
      </c>
      <c r="S17" s="20" t="str">
        <f ca="1">IF(ISNA(INDEX(TbCarteira[Ativo],U17,1)),"-",INDEX(TbCarteira[Ativo],U17,1))</f>
        <v>-</v>
      </c>
      <c r="T17" s="31">
        <f ca="1">IF(ISNUMBER(LARGE(TbCarteira[Valorização %],R17)),LARGE(TbCarteira[Valorização %],R17),0)</f>
        <v>0</v>
      </c>
      <c r="U17" s="20" t="e">
        <f ca="1">MATCH(T17,TbCarteira[Valorização %],0)</f>
        <v>#N/A</v>
      </c>
      <c r="W17" s="20">
        <v>10</v>
      </c>
      <c r="X17" s="20" t="str">
        <f ca="1">IF(ISNA(INDEX(TbCarteiraAcoes[Ativo],Z17,1)),"-",INDEX(TbCarteiraAcoes[Ativo],Z17,1))</f>
        <v>-</v>
      </c>
      <c r="Y17" s="31">
        <f ca="1">IF(ISNUMBER(LARGE(TbCarteiraAcoes[Valorização %],W17)),LARGE(TbCarteiraAcoes[Valorização %],W17),0)</f>
        <v>0</v>
      </c>
      <c r="Z17" s="20" t="e">
        <f ca="1">MATCH(Y17,TbCarteiraAcoes[Valorização %],0)</f>
        <v>#N/A</v>
      </c>
      <c r="AB17" s="20">
        <v>10</v>
      </c>
      <c r="AC17" s="20" t="str">
        <f ca="1">IF(ISNA(INDEX(TbCarteiraFII[Ativo],AE17,1)),"-",INDEX(TbCarteiraFII[Ativo],AE17,1))</f>
        <v>-</v>
      </c>
      <c r="AD17" s="31">
        <f ca="1">IF(ISNUMBER(LARGE(TbCarteiraFII[Valorização %],AB17)),LARGE(TbCarteiraFII[Valorização %],AB17),0)</f>
        <v>0</v>
      </c>
      <c r="AE17" s="20" t="e">
        <f ca="1">MATCH(AD17,TbCarteiraFII[Valorização %],0)</f>
        <v>#N/A</v>
      </c>
    </row>
    <row r="18" spans="14:31" x14ac:dyDescent="0.25">
      <c r="N18" s="20">
        <v>9</v>
      </c>
      <c r="O18" s="20" t="str">
        <f t="shared" ref="O18:O26" ca="1" si="3">IF($C$8=1,S18,IF($C$8=2,X18,AC18))</f>
        <v>CSNA3</v>
      </c>
      <c r="P18" s="20">
        <f t="shared" ref="P18:P26" ca="1" si="4">IF($C$8=1,T18,IF($C$8=2,Y18,AD18))</f>
        <v>-0.15871886120996437</v>
      </c>
      <c r="R18" s="20">
        <v>9</v>
      </c>
      <c r="S18" s="20" t="str">
        <f ca="1">IF(ISNA(INDEX(TbCarteira[Ativo],U18,1)),"-",INDEX(TbCarteira[Ativo],U18,1))</f>
        <v>CSNA3</v>
      </c>
      <c r="T18" s="31">
        <f ca="1">IF(ISNUMBER(LARGE(TbCarteira[Valorização %],R18)),LARGE(TbCarteira[Valorização %],R18),0)</f>
        <v>-0.15871886120996437</v>
      </c>
      <c r="U18" s="20">
        <f ca="1">MATCH(T18,TbCarteira[Valorização %],0)</f>
        <v>1</v>
      </c>
      <c r="W18" s="20">
        <v>9</v>
      </c>
      <c r="X18" s="20" t="str">
        <f ca="1">IF(ISNA(INDEX(TbCarteiraAcoes[Ativo],Z18,1)),"-",INDEX(TbCarteiraAcoes[Ativo],Z18,1))</f>
        <v>-</v>
      </c>
      <c r="Y18" s="31">
        <f ca="1">IF(ISNUMBER(LARGE(TbCarteiraAcoes[Valorização %],W18)),LARGE(TbCarteiraAcoes[Valorização %],W18),0)</f>
        <v>0</v>
      </c>
      <c r="Z18" s="20" t="e">
        <f ca="1">MATCH(Y18,TbCarteiraAcoes[Valorização %],0)</f>
        <v>#N/A</v>
      </c>
      <c r="AB18" s="20">
        <v>9</v>
      </c>
      <c r="AC18" s="20" t="str">
        <f ca="1">IF(ISNA(INDEX(TbCarteiraFII[Ativo],AE18,1)),"-",INDEX(TbCarteiraFII[Ativo],AE18,1))</f>
        <v>-</v>
      </c>
      <c r="AD18" s="31">
        <f ca="1">IF(ISNUMBER(LARGE(TbCarteiraFII[Valorização %],AB18)),LARGE(TbCarteiraFII[Valorização %],AB18),0)</f>
        <v>0</v>
      </c>
      <c r="AE18" s="20" t="e">
        <f ca="1">MATCH(AD18,TbCarteiraFII[Valorização %],0)</f>
        <v>#N/A</v>
      </c>
    </row>
    <row r="19" spans="14:31" x14ac:dyDescent="0.25">
      <c r="N19" s="20">
        <v>8</v>
      </c>
      <c r="O19" s="20" t="str">
        <f t="shared" ca="1" si="3"/>
        <v>ITSA4</v>
      </c>
      <c r="P19" s="20">
        <f t="shared" ca="1" si="4"/>
        <v>-2.7866242038216527E-2</v>
      </c>
      <c r="R19" s="20">
        <v>8</v>
      </c>
      <c r="S19" s="20" t="str">
        <f ca="1">IF(ISNA(INDEX(TbCarteira[Ativo],U19,1)),"-",INDEX(TbCarteira[Ativo],U19,1))</f>
        <v>ITSA4</v>
      </c>
      <c r="T19" s="31">
        <f ca="1">IF(ISNUMBER(LARGE(TbCarteira[Valorização %],R19)),LARGE(TbCarteira[Valorização %],R19),0)</f>
        <v>-2.7866242038216527E-2</v>
      </c>
      <c r="U19" s="20">
        <f ca="1">MATCH(T19,TbCarteira[Valorização %],0)</f>
        <v>3</v>
      </c>
      <c r="W19" s="20">
        <v>8</v>
      </c>
      <c r="X19" s="20" t="str">
        <f ca="1">IF(ISNA(INDEX(TbCarteiraAcoes[Ativo],Z19,1)),"-",INDEX(TbCarteiraAcoes[Ativo],Z19,1))</f>
        <v>-</v>
      </c>
      <c r="Y19" s="31">
        <f ca="1">IF(ISNUMBER(LARGE(TbCarteiraAcoes[Valorização %],W19)),LARGE(TbCarteiraAcoes[Valorização %],W19),0)</f>
        <v>0</v>
      </c>
      <c r="Z19" s="20" t="e">
        <f ca="1">MATCH(Y19,TbCarteiraAcoes[Valorização %],0)</f>
        <v>#N/A</v>
      </c>
      <c r="AB19" s="20">
        <v>8</v>
      </c>
      <c r="AC19" s="20" t="str">
        <f ca="1">IF(ISNA(INDEX(TbCarteiraFII[Ativo],AE19,1)),"-",INDEX(TbCarteiraFII[Ativo],AE19,1))</f>
        <v>-</v>
      </c>
      <c r="AD19" s="31">
        <f ca="1">IF(ISNUMBER(LARGE(TbCarteiraFII[Valorização %],AB19)),LARGE(TbCarteiraFII[Valorização %],AB19),0)</f>
        <v>0</v>
      </c>
      <c r="AE19" s="20" t="e">
        <f ca="1">MATCH(AD19,TbCarteiraFII[Valorização %],0)</f>
        <v>#N/A</v>
      </c>
    </row>
    <row r="20" spans="14:31" x14ac:dyDescent="0.25">
      <c r="N20" s="20">
        <v>7</v>
      </c>
      <c r="O20" s="20" t="str">
        <f t="shared" ca="1" si="3"/>
        <v>FLRY3</v>
      </c>
      <c r="P20" s="20">
        <f t="shared" ca="1" si="4"/>
        <v>7.4497144276119975E-4</v>
      </c>
      <c r="R20" s="20">
        <v>7</v>
      </c>
      <c r="S20" s="20" t="str">
        <f ca="1">IF(ISNA(INDEX(TbCarteira[Ativo],U20,1)),"-",INDEX(TbCarteira[Ativo],U20,1))</f>
        <v>FLRY3</v>
      </c>
      <c r="T20" s="31">
        <f ca="1">IF(ISNUMBER(LARGE(TbCarteira[Valorização %],R20)),LARGE(TbCarteira[Valorização %],R20),0)</f>
        <v>7.4497144276119975E-4</v>
      </c>
      <c r="U20" s="20">
        <f ca="1">MATCH(T20,TbCarteira[Valorização %],0)</f>
        <v>2</v>
      </c>
      <c r="W20" s="20">
        <v>7</v>
      </c>
      <c r="X20" s="20" t="str">
        <f ca="1">IF(ISNA(INDEX(TbCarteiraAcoes[Ativo],Z20,1)),"-",INDEX(TbCarteiraAcoes[Ativo],Z20,1))</f>
        <v>-</v>
      </c>
      <c r="Y20" s="31">
        <f ca="1">IF(ISNUMBER(LARGE(TbCarteiraAcoes[Valorização %],W20)),LARGE(TbCarteiraAcoes[Valorização %],W20),0)</f>
        <v>0</v>
      </c>
      <c r="Z20" s="20" t="e">
        <f ca="1">MATCH(Y20,TbCarteiraAcoes[Valorização %],0)</f>
        <v>#N/A</v>
      </c>
      <c r="AB20" s="20">
        <v>7</v>
      </c>
      <c r="AC20" s="20" t="str">
        <f ca="1">IF(ISNA(INDEX(TbCarteiraFII[Ativo],AE20,1)),"-",INDEX(TbCarteiraFII[Ativo],AE20,1))</f>
        <v>-</v>
      </c>
      <c r="AD20" s="31">
        <f ca="1">IF(ISNUMBER(LARGE(TbCarteiraFII[Valorização %],AB20)),LARGE(TbCarteiraFII[Valorização %],AB20),0)</f>
        <v>0</v>
      </c>
      <c r="AE20" s="20" t="e">
        <f ca="1">MATCH(AD20,TbCarteiraFII[Valorização %],0)</f>
        <v>#N/A</v>
      </c>
    </row>
    <row r="21" spans="14:31" x14ac:dyDescent="0.25">
      <c r="N21" s="20">
        <v>6</v>
      </c>
      <c r="O21" s="20" t="str">
        <f t="shared" ca="1" si="3"/>
        <v>HGBS11</v>
      </c>
      <c r="P21" s="20">
        <f t="shared" ca="1" si="4"/>
        <v>2.3606614751946919E-2</v>
      </c>
      <c r="R21" s="20">
        <v>6</v>
      </c>
      <c r="S21" s="20" t="str">
        <f ca="1">IF(ISNA(INDEX(TbCarteira[Ativo],U21,1)),"-",INDEX(TbCarteira[Ativo],U21,1))</f>
        <v>HGBS11</v>
      </c>
      <c r="T21" s="31">
        <f ca="1">IF(ISNUMBER(LARGE(TbCarteira[Valorização %],R21)),LARGE(TbCarteira[Valorização %],R21),0)</f>
        <v>2.3606614751946919E-2</v>
      </c>
      <c r="U21" s="20">
        <f ca="1">MATCH(T21,TbCarteira[Valorização %],0)</f>
        <v>5</v>
      </c>
      <c r="W21" s="20">
        <v>6</v>
      </c>
      <c r="X21" s="20" t="str">
        <f ca="1">IF(ISNA(INDEX(TbCarteiraAcoes[Ativo],Z21,1)),"-",INDEX(TbCarteiraAcoes[Ativo],Z21,1))</f>
        <v>-</v>
      </c>
      <c r="Y21" s="31">
        <f ca="1">IF(ISNUMBER(LARGE(TbCarteiraAcoes[Valorização %],W21)),LARGE(TbCarteiraAcoes[Valorização %],W21),0)</f>
        <v>0</v>
      </c>
      <c r="Z21" s="20" t="e">
        <f ca="1">MATCH(Y21,TbCarteiraAcoes[Valorização %],0)</f>
        <v>#N/A</v>
      </c>
      <c r="AB21" s="20">
        <v>6</v>
      </c>
      <c r="AC21" s="20" t="str">
        <f ca="1">IF(ISNA(INDEX(TbCarteiraFII[Ativo],AE21,1)),"-",INDEX(TbCarteiraFII[Ativo],AE21,1))</f>
        <v>-</v>
      </c>
      <c r="AD21" s="31">
        <f ca="1">IF(ISNUMBER(LARGE(TbCarteiraFII[Valorização %],AB21)),LARGE(TbCarteiraFII[Valorização %],AB21),0)</f>
        <v>0</v>
      </c>
      <c r="AE21" s="20" t="e">
        <f ca="1">MATCH(AD21,TbCarteiraFII[Valorização %],0)</f>
        <v>#N/A</v>
      </c>
    </row>
    <row r="22" spans="14:31" x14ac:dyDescent="0.25">
      <c r="N22" s="20">
        <v>5</v>
      </c>
      <c r="O22" s="20" t="str">
        <f t="shared" ca="1" si="3"/>
        <v>PETR4</v>
      </c>
      <c r="P22" s="20">
        <f t="shared" ca="1" si="4"/>
        <v>3.7193831267009259E-2</v>
      </c>
      <c r="R22" s="20">
        <v>5</v>
      </c>
      <c r="S22" s="20" t="str">
        <f ca="1">IF(ISNA(INDEX(TbCarteira[Ativo],U22,1)),"-",INDEX(TbCarteira[Ativo],U22,1))</f>
        <v>PETR4</v>
      </c>
      <c r="T22" s="31">
        <f ca="1">IF(ISNUMBER(LARGE(TbCarteira[Valorização %],R22)),LARGE(TbCarteira[Valorização %],R22),0)</f>
        <v>3.7193831267009259E-2</v>
      </c>
      <c r="U22" s="20">
        <f ca="1">MATCH(T22,TbCarteira[Valorização %],0)</f>
        <v>4</v>
      </c>
      <c r="W22" s="20">
        <v>5</v>
      </c>
      <c r="X22" s="20" t="str">
        <f ca="1">IF(ISNA(INDEX(TbCarteiraAcoes[Ativo],Z22,1)),"-",INDEX(TbCarteiraAcoes[Ativo],Z22,1))</f>
        <v>CSNA3</v>
      </c>
      <c r="Y22" s="31">
        <f ca="1">IF(ISNUMBER(LARGE(TbCarteiraAcoes[Valorização %],W22)),LARGE(TbCarteiraAcoes[Valorização %],W22),0)</f>
        <v>-0.15871886120996437</v>
      </c>
      <c r="Z22" s="20">
        <f ca="1">MATCH(Y22,TbCarteiraAcoes[Valorização %],0)</f>
        <v>1</v>
      </c>
      <c r="AB22" s="20">
        <v>5</v>
      </c>
      <c r="AC22" s="20" t="str">
        <f ca="1">IF(ISNA(INDEX(TbCarteiraFII[Ativo],AE22,1)),"-",INDEX(TbCarteiraFII[Ativo],AE22,1))</f>
        <v>-</v>
      </c>
      <c r="AD22" s="31">
        <f ca="1">IF(ISNUMBER(LARGE(TbCarteiraFII[Valorização %],AB22)),LARGE(TbCarteiraFII[Valorização %],AB22),0)</f>
        <v>0</v>
      </c>
      <c r="AE22" s="20" t="e">
        <f ca="1">MATCH(AD22,TbCarteiraFII[Valorização %],0)</f>
        <v>#N/A</v>
      </c>
    </row>
    <row r="23" spans="14:31" x14ac:dyDescent="0.25">
      <c r="N23" s="20">
        <v>4</v>
      </c>
      <c r="O23" s="20" t="str">
        <f t="shared" ca="1" si="3"/>
        <v>HGRE11</v>
      </c>
      <c r="P23" s="20">
        <f t="shared" ca="1" si="4"/>
        <v>8.1959583883301379E-2</v>
      </c>
      <c r="R23" s="20">
        <v>4</v>
      </c>
      <c r="S23" s="20" t="str">
        <f ca="1">IF(ISNA(INDEX(TbCarteira[Ativo],U23,1)),"-",INDEX(TbCarteira[Ativo],U23,1))</f>
        <v>HGRE11</v>
      </c>
      <c r="T23" s="31">
        <f ca="1">IF(ISNUMBER(LARGE(TbCarteira[Valorização %],R23)),LARGE(TbCarteira[Valorização %],R23),0)</f>
        <v>8.1959583883301379E-2</v>
      </c>
      <c r="U23" s="20">
        <f ca="1">MATCH(T23,TbCarteira[Valorização %],0)</f>
        <v>7</v>
      </c>
      <c r="W23" s="20">
        <v>4</v>
      </c>
      <c r="X23" s="20" t="str">
        <f ca="1">IF(ISNA(INDEX(TbCarteiraAcoes[Ativo],Z23,1)),"-",INDEX(TbCarteiraAcoes[Ativo],Z23,1))</f>
        <v>ITSA4</v>
      </c>
      <c r="Y23" s="31">
        <f ca="1">IF(ISNUMBER(LARGE(TbCarteiraAcoes[Valorização %],W23)),LARGE(TbCarteiraAcoes[Valorização %],W23),0)</f>
        <v>-2.7866242038216527E-2</v>
      </c>
      <c r="Z23" s="20">
        <f ca="1">MATCH(Y23,TbCarteiraAcoes[Valorização %],0)</f>
        <v>3</v>
      </c>
      <c r="AB23" s="20">
        <v>4</v>
      </c>
      <c r="AC23" s="20" t="str">
        <f ca="1">IF(ISNA(INDEX(TbCarteiraFII[Ativo],AE23,1)),"-",INDEX(TbCarteiraFII[Ativo],AE23,1))</f>
        <v>HGBS11</v>
      </c>
      <c r="AD23" s="31">
        <f ca="1">IF(ISNUMBER(LARGE(TbCarteiraFII[Valorização %],AB23)),LARGE(TbCarteiraFII[Valorização %],AB23),0)</f>
        <v>2.3606614751946919E-2</v>
      </c>
      <c r="AE23" s="20">
        <f ca="1">MATCH(AD23,TbCarteiraFII[Valorização %],0)</f>
        <v>1</v>
      </c>
    </row>
    <row r="24" spans="14:31" x14ac:dyDescent="0.25">
      <c r="N24" s="20">
        <v>3</v>
      </c>
      <c r="O24" s="20" t="str">
        <f t="shared" ca="1" si="3"/>
        <v>KNRI11</v>
      </c>
      <c r="P24" s="20">
        <f t="shared" ca="1" si="4"/>
        <v>0.10590065647174884</v>
      </c>
      <c r="R24" s="20">
        <v>3</v>
      </c>
      <c r="S24" s="20" t="str">
        <f ca="1">IF(ISNA(INDEX(TbCarteira[Ativo],U24,1)),"-",INDEX(TbCarteira[Ativo],U24,1))</f>
        <v>KNRI11</v>
      </c>
      <c r="T24" s="31">
        <f ca="1">IF(ISNUMBER(LARGE(TbCarteira[Valorização %],R24)),LARGE(TbCarteira[Valorização %],R24),0)</f>
        <v>0.10590065647174884</v>
      </c>
      <c r="U24" s="20">
        <f ca="1">MATCH(T24,TbCarteira[Valorização %],0)</f>
        <v>8</v>
      </c>
      <c r="W24" s="20">
        <v>3</v>
      </c>
      <c r="X24" s="20" t="str">
        <f ca="1">IF(ISNA(INDEX(TbCarteiraAcoes[Ativo],Z24,1)),"-",INDEX(TbCarteiraAcoes[Ativo],Z24,1))</f>
        <v>FLRY3</v>
      </c>
      <c r="Y24" s="31">
        <f ca="1">IF(ISNUMBER(LARGE(TbCarteiraAcoes[Valorização %],W24)),LARGE(TbCarteiraAcoes[Valorização %],W24),0)</f>
        <v>7.4497144276119975E-4</v>
      </c>
      <c r="Z24" s="20">
        <f ca="1">MATCH(Y24,TbCarteiraAcoes[Valorização %],0)</f>
        <v>2</v>
      </c>
      <c r="AB24" s="20">
        <v>3</v>
      </c>
      <c r="AC24" s="20" t="str">
        <f ca="1">IF(ISNA(INDEX(TbCarteiraFII[Ativo],AE24,1)),"-",INDEX(TbCarteiraFII[Ativo],AE24,1))</f>
        <v>HGRE11</v>
      </c>
      <c r="AD24" s="31">
        <f ca="1">IF(ISNUMBER(LARGE(TbCarteiraFII[Valorização %],AB24)),LARGE(TbCarteiraFII[Valorização %],AB24),0)</f>
        <v>8.1959583883301379E-2</v>
      </c>
      <c r="AE24" s="20">
        <f ca="1">MATCH(AD24,TbCarteiraFII[Valorização %],0)</f>
        <v>3</v>
      </c>
    </row>
    <row r="25" spans="14:31" x14ac:dyDescent="0.25">
      <c r="N25" s="20">
        <v>2</v>
      </c>
      <c r="O25" s="20" t="str">
        <f t="shared" ca="1" si="3"/>
        <v>TAEE4</v>
      </c>
      <c r="P25" s="20">
        <f t="shared" ca="1" si="4"/>
        <v>0.10703363914373099</v>
      </c>
      <c r="R25" s="20">
        <v>2</v>
      </c>
      <c r="S25" s="20" t="str">
        <f ca="1">IF(ISNA(INDEX(TbCarteira[Ativo],U25,1)),"-",INDEX(TbCarteira[Ativo],U25,1))</f>
        <v>TAEE4</v>
      </c>
      <c r="T25" s="31">
        <f ca="1">IF(ISNUMBER(LARGE(TbCarteira[Valorização %],R25)),LARGE(TbCarteira[Valorização %],R25),0)</f>
        <v>0.10703363914373099</v>
      </c>
      <c r="U25" s="20">
        <f ca="1">MATCH(T25,TbCarteira[Valorização %],0)</f>
        <v>9</v>
      </c>
      <c r="W25" s="20">
        <v>2</v>
      </c>
      <c r="X25" s="20" t="str">
        <f ca="1">IF(ISNA(INDEX(TbCarteiraAcoes[Ativo],Z25,1)),"-",INDEX(TbCarteiraAcoes[Ativo],Z25,1))</f>
        <v>PETR4</v>
      </c>
      <c r="Y25" s="31">
        <f ca="1">IF(ISNUMBER(LARGE(TbCarteiraAcoes[Valorização %],W25)),LARGE(TbCarteiraAcoes[Valorização %],W25),0)</f>
        <v>3.7193831267009259E-2</v>
      </c>
      <c r="Z25" s="20">
        <f ca="1">MATCH(Y25,TbCarteiraAcoes[Valorização %],0)</f>
        <v>4</v>
      </c>
      <c r="AB25" s="20">
        <v>2</v>
      </c>
      <c r="AC25" s="20" t="str">
        <f ca="1">IF(ISNA(INDEX(TbCarteiraFII[Ativo],AE25,1)),"-",INDEX(TbCarteiraFII[Ativo],AE25,1))</f>
        <v>KNRI11</v>
      </c>
      <c r="AD25" s="31">
        <f ca="1">IF(ISNUMBER(LARGE(TbCarteiraFII[Valorização %],AB25)),LARGE(TbCarteiraFII[Valorização %],AB25),0)</f>
        <v>0.10590065647174884</v>
      </c>
      <c r="AE25" s="20">
        <f ca="1">MATCH(AD25,TbCarteiraFII[Valorização %],0)</f>
        <v>4</v>
      </c>
    </row>
    <row r="26" spans="14:31" x14ac:dyDescent="0.25">
      <c r="N26" s="20">
        <v>1</v>
      </c>
      <c r="O26" s="20" t="str">
        <f t="shared" ca="1" si="3"/>
        <v>HGLG11</v>
      </c>
      <c r="P26" s="20">
        <f t="shared" ca="1" si="4"/>
        <v>0.26168852438095791</v>
      </c>
      <c r="R26" s="20">
        <v>1</v>
      </c>
      <c r="S26" s="20" t="str">
        <f ca="1">IF(ISNA(INDEX(TbCarteira[Ativo],U26,1)),"-",INDEX(TbCarteira[Ativo],U26,1))</f>
        <v>HGLG11</v>
      </c>
      <c r="T26" s="31">
        <f ca="1">IF(ISNUMBER(LARGE(TbCarteira[Valorização %],R26)),LARGE(TbCarteira[Valorização %],R26),0)</f>
        <v>0.26168852438095791</v>
      </c>
      <c r="U26" s="20">
        <f ca="1">MATCH(T26,TbCarteira[Valorização %],0)</f>
        <v>6</v>
      </c>
      <c r="W26" s="20">
        <v>1</v>
      </c>
      <c r="X26" s="20" t="str">
        <f ca="1">IF(ISNA(INDEX(TbCarteiraAcoes[Ativo],Z26,1)),"-",INDEX(TbCarteiraAcoes[Ativo],Z26,1))</f>
        <v>TAEE4</v>
      </c>
      <c r="Y26" s="31">
        <f ca="1">IF(ISNUMBER(LARGE(TbCarteiraAcoes[Valorização %],W26)),LARGE(TbCarteiraAcoes[Valorização %],W26),0)</f>
        <v>0.10703363914373099</v>
      </c>
      <c r="Z26" s="20">
        <f ca="1">MATCH(Y26,TbCarteiraAcoes[Valorização %],0)</f>
        <v>5</v>
      </c>
      <c r="AB26" s="20">
        <v>1</v>
      </c>
      <c r="AC26" s="20" t="str">
        <f ca="1">IF(ISNA(INDEX(TbCarteiraFII[Ativo],AE26,1)),"-",INDEX(TbCarteiraFII[Ativo],AE26,1))</f>
        <v>HGLG11</v>
      </c>
      <c r="AD26" s="31">
        <f ca="1">IF(ISNUMBER(LARGE(TbCarteiraFII[Valorização %],AB26)),LARGE(TbCarteiraFII[Valorização %],AB26),0)</f>
        <v>0.26168852438095791</v>
      </c>
      <c r="AE26" s="20">
        <f ca="1">MATCH(AD26,TbCarteiraFII[Valorização %],0)</f>
        <v>2</v>
      </c>
    </row>
  </sheetData>
  <conditionalFormatting sqref="G7:I8">
    <cfRule type="cellIs" dxfId="5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12"/>
  <sheetViews>
    <sheetView showGridLines="0" zoomScaleNormal="100" workbookViewId="0">
      <selection activeCell="G19" sqref="G19"/>
    </sheetView>
  </sheetViews>
  <sheetFormatPr defaultRowHeight="15" x14ac:dyDescent="0.25"/>
  <cols>
    <col min="1" max="1" width="3.140625" customWidth="1"/>
    <col min="4" max="4" width="10.140625" customWidth="1"/>
    <col min="5" max="5" width="16" style="11" customWidth="1"/>
    <col min="6" max="6" width="11" customWidth="1"/>
    <col min="7" max="7" width="13.7109375" style="11" customWidth="1"/>
    <col min="8" max="8" width="14.42578125" style="11" customWidth="1"/>
    <col min="9" max="9" width="13.28515625" style="11" customWidth="1"/>
    <col min="10" max="10" width="15.42578125" style="12" customWidth="1"/>
    <col min="11" max="11" width="2.42578125" customWidth="1"/>
    <col min="12" max="12" width="15.5703125" customWidth="1"/>
    <col min="13" max="13" width="12.85546875" customWidth="1"/>
  </cols>
  <sheetData>
    <row r="2" spans="2:13" x14ac:dyDescent="0.25">
      <c r="B2" t="s">
        <v>17</v>
      </c>
      <c r="C2" t="s">
        <v>22</v>
      </c>
      <c r="D2" t="s">
        <v>50</v>
      </c>
      <c r="E2" s="11" t="s">
        <v>51</v>
      </c>
      <c r="F2" t="s">
        <v>52</v>
      </c>
      <c r="G2" s="11" t="s">
        <v>53</v>
      </c>
      <c r="H2" s="11" t="s">
        <v>54</v>
      </c>
      <c r="I2" s="11" t="s">
        <v>55</v>
      </c>
      <c r="J2" s="12" t="s">
        <v>56</v>
      </c>
      <c r="L2" s="9" t="s">
        <v>57</v>
      </c>
      <c r="M2" s="10"/>
    </row>
    <row r="3" spans="2:13" x14ac:dyDescent="0.25">
      <c r="B3" t="s">
        <v>4</v>
      </c>
      <c r="C3" t="str">
        <f>VLOOKUP(TbCarteira[[#This Row],[Ativo]],TbAtivos!$C$3:$E$500,2,FALSE)</f>
        <v>EMPRESA</v>
      </c>
      <c r="D3">
        <f>VLOOKUP(TbCarteira[[#This Row],[Ativo]],TbAtivos!$C$3:$E$500,3,FALSE)</f>
        <v>7.88</v>
      </c>
      <c r="E3" s="11">
        <f ca="1">SUMIFS(TbAportes[Total],TbAportes[Ativo],TbCarteira[[#This Row],[Ativo]],TbAportes[Data],"&lt;="&amp;IF($M$2="",TODAY(),$M$2))</f>
        <v>2810</v>
      </c>
      <c r="F3">
        <f ca="1">SUMIFS(TbAportes[Qte],TbAportes[Ativo],TbCarteira[[#This Row],[Ativo]],TbAportes[Data],"&lt;="&amp;IF($M$2="",TODAY(),$M$2))</f>
        <v>300</v>
      </c>
      <c r="G3" s="11">
        <f ca="1">TbCarteira[[#This Row],[Total aportado]]/TbCarteira[[#This Row],[Total qte]]</f>
        <v>9.3666666666666671</v>
      </c>
      <c r="H3" s="11">
        <f ca="1">TbCarteira[[#This Row],[Total qte]]*TbCarteira[[#This Row],[Cotação]]</f>
        <v>2364</v>
      </c>
      <c r="I3" s="11">
        <f ca="1">TbCarteira[[#This Row],[Total atual]]-TbCarteira[[#This Row],[Total aportado]]</f>
        <v>-446</v>
      </c>
      <c r="J3" s="12">
        <f ca="1">TbCarteira[[#This Row],[Total atual]]/TbCarteira[[#This Row],[Total aportado]]-1</f>
        <v>-0.15871886120996437</v>
      </c>
    </row>
    <row r="4" spans="2:13" x14ac:dyDescent="0.25">
      <c r="B4" t="s">
        <v>6</v>
      </c>
      <c r="C4" t="str">
        <f>VLOOKUP(TbCarteira[[#This Row],[Ativo]],TbAtivos!$C$3:$E$500,2,FALSE)</f>
        <v>EMPRESA</v>
      </c>
      <c r="D4">
        <f>VLOOKUP(TbCarteira[[#This Row],[Ativo]],TbAtivos!$C$3:$E$500,3,FALSE)</f>
        <v>20.149999999999999</v>
      </c>
      <c r="E4" s="11">
        <f ca="1">SUMIFS(TbAportes[Total],TbAportes[Ativo],TbCarteira[[#This Row],[Ativo]],TbAportes[Data],"&lt;="&amp;IF($M$2="",TODAY(),$M$2))</f>
        <v>4027</v>
      </c>
      <c r="F4">
        <f ca="1">SUMIFS(TbAportes[Qte],TbAportes[Ativo],TbCarteira[[#This Row],[Ativo]],TbAportes[Data],"&lt;="&amp;IF($M$2="",TODAY(),$M$2))</f>
        <v>200</v>
      </c>
      <c r="G4" s="11">
        <f ca="1">TbCarteira[[#This Row],[Total aportado]]/TbCarteira[[#This Row],[Total qte]]</f>
        <v>20.135000000000002</v>
      </c>
      <c r="H4" s="11">
        <f ca="1">TbCarteira[[#This Row],[Total qte]]*TbCarteira[[#This Row],[Cotação]]</f>
        <v>4029.9999999999995</v>
      </c>
      <c r="I4" s="11">
        <f ca="1">TbCarteira[[#This Row],[Total atual]]-TbCarteira[[#This Row],[Total aportado]]</f>
        <v>2.9999999999995453</v>
      </c>
      <c r="J4" s="12">
        <f ca="1">TbCarteira[[#This Row],[Total atual]]/TbCarteira[[#This Row],[Total aportado]]-1</f>
        <v>7.4497144276119975E-4</v>
      </c>
    </row>
    <row r="5" spans="2:13" x14ac:dyDescent="0.25">
      <c r="B5" t="s">
        <v>7</v>
      </c>
      <c r="C5" t="str">
        <f>VLOOKUP(TbCarteira[[#This Row],[Ativo]],TbAtivos!$C$3:$E$500,2,FALSE)</f>
        <v>EMPRESA</v>
      </c>
      <c r="D5">
        <f>VLOOKUP(TbCarteira[[#This Row],[Ativo]],TbAtivos!$C$3:$E$500,3,FALSE)</f>
        <v>8.14</v>
      </c>
      <c r="E5" s="11">
        <f ca="1">SUMIFS(TbAportes[Total],TbAportes[Ativo],TbCarteira[[#This Row],[Ativo]],TbAportes[Data],"&lt;="&amp;IF($M$2="",TODAY(),$M$2))</f>
        <v>2512</v>
      </c>
      <c r="F5">
        <f ca="1">SUMIFS(TbAportes[Qte],TbAportes[Ativo],TbCarteira[[#This Row],[Ativo]],TbAportes[Data],"&lt;="&amp;IF($M$2="",TODAY(),$M$2))</f>
        <v>300</v>
      </c>
      <c r="G5" s="11">
        <f ca="1">TbCarteira[[#This Row],[Total aportado]]/TbCarteira[[#This Row],[Total qte]]</f>
        <v>8.3733333333333331</v>
      </c>
      <c r="H5" s="11">
        <f ca="1">TbCarteira[[#This Row],[Total qte]]*TbCarteira[[#This Row],[Cotação]]</f>
        <v>2442</v>
      </c>
      <c r="I5" s="11">
        <f ca="1">TbCarteira[[#This Row],[Total atual]]-TbCarteira[[#This Row],[Total aportado]]</f>
        <v>-70</v>
      </c>
      <c r="J5" s="12">
        <f ca="1">TbCarteira[[#This Row],[Total atual]]/TbCarteira[[#This Row],[Total aportado]]-1</f>
        <v>-2.7866242038216527E-2</v>
      </c>
    </row>
    <row r="6" spans="2:13" x14ac:dyDescent="0.25">
      <c r="B6" t="s">
        <v>8</v>
      </c>
      <c r="C6" t="str">
        <f>VLOOKUP(TbCarteira[[#This Row],[Ativo]],TbAtivos!$C$3:$E$500,2,FALSE)</f>
        <v>EMPRESA</v>
      </c>
      <c r="D6">
        <f>VLOOKUP(TbCarteira[[#This Row],[Ativo]],TbAtivos!$C$3:$E$500,3,FALSE)</f>
        <v>17.149999999999999</v>
      </c>
      <c r="E6" s="11">
        <f ca="1">SUMIFS(TbAportes[Total],TbAportes[Ativo],TbCarteira[[#This Row],[Ativo]],TbAportes[Data],"&lt;="&amp;IF($M$2="",TODAY(),$M$2))</f>
        <v>6614</v>
      </c>
      <c r="F6">
        <f ca="1">SUMIFS(TbAportes[Qte],TbAportes[Ativo],TbCarteira[[#This Row],[Ativo]],TbAportes[Data],"&lt;="&amp;IF($M$2="",TODAY(),$M$2))</f>
        <v>400</v>
      </c>
      <c r="G6" s="11">
        <f ca="1">TbCarteira[[#This Row],[Total aportado]]/TbCarteira[[#This Row],[Total qte]]</f>
        <v>16.535</v>
      </c>
      <c r="H6" s="11">
        <f ca="1">TbCarteira[[#This Row],[Total qte]]*TbCarteira[[#This Row],[Cotação]]</f>
        <v>6859.9999999999991</v>
      </c>
      <c r="I6" s="11">
        <f ca="1">TbCarteira[[#This Row],[Total atual]]-TbCarteira[[#This Row],[Total aportado]]</f>
        <v>245.99999999999909</v>
      </c>
      <c r="J6" s="12">
        <f ca="1">TbCarteira[[#This Row],[Total atual]]/TbCarteira[[#This Row],[Total aportado]]-1</f>
        <v>3.7193831267009259E-2</v>
      </c>
    </row>
    <row r="7" spans="2:13" x14ac:dyDescent="0.25">
      <c r="B7" t="s">
        <v>9</v>
      </c>
      <c r="C7" t="str">
        <f>VLOOKUP(TbCarteira[[#This Row],[Ativo]],TbAtivos!$C$3:$E$500,2,FALSE)</f>
        <v>FII</v>
      </c>
      <c r="D7">
        <f>VLOOKUP(TbCarteira[[#This Row],[Ativo]],TbAtivos!$C$3:$E$500,3,FALSE)</f>
        <v>194.98</v>
      </c>
      <c r="E7" s="11">
        <f ca="1">SUMIFS(TbAportes[Total],TbAportes[Ativo],TbCarteira[[#This Row],[Ativo]],TbAportes[Data],"&lt;="&amp;IF($M$2="",TODAY(),$M$2))</f>
        <v>1714.35</v>
      </c>
      <c r="F7">
        <f ca="1">SUMIFS(TbAportes[Qte],TbAportes[Ativo],TbCarteira[[#This Row],[Ativo]],TbAportes[Data],"&lt;="&amp;IF($M$2="",TODAY(),$M$2))</f>
        <v>9</v>
      </c>
      <c r="G7" s="11">
        <f ca="1">TbCarteira[[#This Row],[Total aportado]]/TbCarteira[[#This Row],[Total qte]]</f>
        <v>190.48333333333332</v>
      </c>
      <c r="H7" s="11">
        <f ca="1">TbCarteira[[#This Row],[Total qte]]*TbCarteira[[#This Row],[Cotação]]</f>
        <v>1754.82</v>
      </c>
      <c r="I7" s="11">
        <f ca="1">TbCarteira[[#This Row],[Total atual]]-TbCarteira[[#This Row],[Total aportado]]</f>
        <v>40.470000000000027</v>
      </c>
      <c r="J7" s="12">
        <f ca="1">TbCarteira[[#This Row],[Total atual]]/TbCarteira[[#This Row],[Total aportado]]-1</f>
        <v>2.3606614751946919E-2</v>
      </c>
    </row>
    <row r="8" spans="2:13" x14ac:dyDescent="0.25">
      <c r="B8" t="s">
        <v>11</v>
      </c>
      <c r="C8" t="str">
        <f>VLOOKUP(TbCarteira[[#This Row],[Ativo]],TbAtivos!$C$3:$E$500,2,FALSE)</f>
        <v>FII</v>
      </c>
      <c r="D8">
        <f>VLOOKUP(TbCarteira[[#This Row],[Ativo]],TbAtivos!$C$3:$E$500,3,FALSE)</f>
        <v>174.47</v>
      </c>
      <c r="E8" s="11">
        <f ca="1">SUMIFS(TbAportes[Total],TbAportes[Ativo],TbCarteira[[#This Row],[Ativo]],TbAportes[Data],"&lt;="&amp;IF($M$2="",TODAY(),$M$2))</f>
        <v>2350.81</v>
      </c>
      <c r="F8">
        <f ca="1">SUMIFS(TbAportes[Qte],TbAportes[Ativo],TbCarteira[[#This Row],[Ativo]],TbAportes[Data],"&lt;="&amp;IF($M$2="",TODAY(),$M$2))</f>
        <v>17</v>
      </c>
      <c r="G8" s="11">
        <f ca="1">TbCarteira[[#This Row],[Total aportado]]/TbCarteira[[#This Row],[Total qte]]</f>
        <v>138.28294117647059</v>
      </c>
      <c r="H8" s="11">
        <f ca="1">TbCarteira[[#This Row],[Total qte]]*TbCarteira[[#This Row],[Cotação]]</f>
        <v>2965.99</v>
      </c>
      <c r="I8" s="11">
        <f ca="1">TbCarteira[[#This Row],[Total atual]]-TbCarteira[[#This Row],[Total aportado]]</f>
        <v>615.17999999999984</v>
      </c>
      <c r="J8" s="12">
        <f ca="1">TbCarteira[[#This Row],[Total atual]]/TbCarteira[[#This Row],[Total aportado]]-1</f>
        <v>0.26168852438095791</v>
      </c>
    </row>
    <row r="9" spans="2:13" x14ac:dyDescent="0.25">
      <c r="B9" t="s">
        <v>12</v>
      </c>
      <c r="C9" t="str">
        <f>VLOOKUP(TbCarteira[[#This Row],[Ativo]],TbAtivos!$C$3:$E$500,2,FALSE)</f>
        <v>FII</v>
      </c>
      <c r="D9">
        <f>VLOOKUP(TbCarteira[[#This Row],[Ativo]],TbAtivos!$C$3:$E$500,3,FALSE)</f>
        <v>141.94</v>
      </c>
      <c r="E9" s="11">
        <f ca="1">SUMIFS(TbAportes[Total],TbAportes[Ativo],TbCarteira[[#This Row],[Ativo]],TbAportes[Data],"&lt;="&amp;IF($M$2="",TODAY(),$M$2))</f>
        <v>2492.5699999999997</v>
      </c>
      <c r="F9">
        <f ca="1">SUMIFS(TbAportes[Qte],TbAportes[Ativo],TbCarteira[[#This Row],[Ativo]],TbAportes[Data],"&lt;="&amp;IF($M$2="",TODAY(),$M$2))</f>
        <v>19</v>
      </c>
      <c r="G9" s="11">
        <f ca="1">TbCarteira[[#This Row],[Total aportado]]/TbCarteira[[#This Row],[Total qte]]</f>
        <v>131.18789473684208</v>
      </c>
      <c r="H9" s="11">
        <f ca="1">TbCarteira[[#This Row],[Total qte]]*TbCarteira[[#This Row],[Cotação]]</f>
        <v>2696.86</v>
      </c>
      <c r="I9" s="11">
        <f ca="1">TbCarteira[[#This Row],[Total atual]]-TbCarteira[[#This Row],[Total aportado]]</f>
        <v>204.29000000000042</v>
      </c>
      <c r="J9" s="12">
        <f ca="1">TbCarteira[[#This Row],[Total atual]]/TbCarteira[[#This Row],[Total aportado]]-1</f>
        <v>8.1959583883301379E-2</v>
      </c>
    </row>
    <row r="10" spans="2:13" x14ac:dyDescent="0.25">
      <c r="B10" t="s">
        <v>13</v>
      </c>
      <c r="C10" t="str">
        <f>VLOOKUP(TbCarteira[[#This Row],[Ativo]],TbAtivos!$C$3:$E$500,2,FALSE)</f>
        <v>FII</v>
      </c>
      <c r="D10">
        <f>VLOOKUP(TbCarteira[[#This Row],[Ativo]],TbAtivos!$C$3:$E$500,3,FALSE)</f>
        <v>161.91</v>
      </c>
      <c r="E10" s="11">
        <f ca="1">SUMIFS(TbAportes[Total],TbAportes[Ativo],TbCarteira[[#This Row],[Ativo]],TbAportes[Data],"&lt;="&amp;IF($M$2="",TODAY(),$M$2))</f>
        <v>2635.3</v>
      </c>
      <c r="F10">
        <f ca="1">SUMIFS(TbAportes[Qte],TbAportes[Ativo],TbCarteira[[#This Row],[Ativo]],TbAportes[Data],"&lt;="&amp;IF($M$2="",TODAY(),$M$2))</f>
        <v>18</v>
      </c>
      <c r="G10" s="11">
        <f ca="1">TbCarteira[[#This Row],[Total aportado]]/TbCarteira[[#This Row],[Total qte]]</f>
        <v>146.40555555555557</v>
      </c>
      <c r="H10" s="11">
        <f ca="1">TbCarteira[[#This Row],[Total qte]]*TbCarteira[[#This Row],[Cotação]]</f>
        <v>2914.38</v>
      </c>
      <c r="I10" s="11">
        <f ca="1">TbCarteira[[#This Row],[Total atual]]-TbCarteira[[#This Row],[Total aportado]]</f>
        <v>279.07999999999993</v>
      </c>
      <c r="J10" s="12">
        <f ca="1">TbCarteira[[#This Row],[Total atual]]/TbCarteira[[#This Row],[Total aportado]]-1</f>
        <v>0.10590065647174884</v>
      </c>
    </row>
    <row r="11" spans="2:13" x14ac:dyDescent="0.25">
      <c r="B11" t="s">
        <v>15</v>
      </c>
      <c r="C11" t="str">
        <f>VLOOKUP(TbCarteira[[#This Row],[Ativo]],TbAtivos!$C$3:$E$500,2,FALSE)</f>
        <v>EMPRESA</v>
      </c>
      <c r="D11">
        <f>VLOOKUP(TbCarteira[[#This Row],[Ativo]],TbAtivos!$C$3:$E$500,3,FALSE)</f>
        <v>9.0500000000000007</v>
      </c>
      <c r="E11" s="11">
        <f ca="1">SUMIFS(TbAportes[Total],TbAportes[Ativo],TbCarteira[[#This Row],[Ativo]],TbAportes[Data],"&lt;="&amp;IF($M$2="",TODAY(),$M$2))</f>
        <v>1635</v>
      </c>
      <c r="F11">
        <f ca="1">SUMIFS(TbAportes[Qte],TbAportes[Ativo],TbCarteira[[#This Row],[Ativo]],TbAportes[Data],"&lt;="&amp;IF($M$2="",TODAY(),$M$2))</f>
        <v>200</v>
      </c>
      <c r="G11" s="11">
        <f ca="1">TbCarteira[[#This Row],[Total aportado]]/TbCarteira[[#This Row],[Total qte]]</f>
        <v>8.1750000000000007</v>
      </c>
      <c r="H11" s="11">
        <f ca="1">TbCarteira[[#This Row],[Total qte]]*TbCarteira[[#This Row],[Cotação]]</f>
        <v>1810.0000000000002</v>
      </c>
      <c r="I11" s="11">
        <f ca="1">TbCarteira[[#This Row],[Total atual]]-TbCarteira[[#This Row],[Total aportado]]</f>
        <v>175.00000000000023</v>
      </c>
      <c r="J11" s="12">
        <f ca="1">TbCarteira[[#This Row],[Total atual]]/TbCarteira[[#This Row],[Total aportado]]-1</f>
        <v>0.10703363914373099</v>
      </c>
    </row>
    <row r="12" spans="2:13" x14ac:dyDescent="0.25">
      <c r="B12" t="s">
        <v>21</v>
      </c>
      <c r="E12" s="11">
        <f ca="1">SUBTOTAL(109,TbCarteira[Total aportado])</f>
        <v>26791.03</v>
      </c>
      <c r="G12"/>
      <c r="H12" s="11">
        <f ca="1">SUBTOTAL(109,TbCarteira[Total atual])</f>
        <v>27838.05</v>
      </c>
      <c r="I12" s="11">
        <f ca="1">SUBTOTAL(109,TbCarteira[Valorização])</f>
        <v>1047.0199999999991</v>
      </c>
    </row>
  </sheetData>
  <conditionalFormatting sqref="I3:I11">
    <cfRule type="cellIs" dxfId="4" priority="2" operator="lessThan">
      <formula>0</formula>
    </cfRule>
  </conditionalFormatting>
  <conditionalFormatting sqref="J3:J11">
    <cfRule type="cellIs" dxfId="3" priority="1" operator="lessThan">
      <formula>0</formula>
    </cfRule>
  </conditionalFormatting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8"/>
  <sheetViews>
    <sheetView showGridLines="0" zoomScaleNormal="100" workbookViewId="0">
      <selection activeCell="G13" sqref="G13"/>
    </sheetView>
  </sheetViews>
  <sheetFormatPr defaultRowHeight="15" x14ac:dyDescent="0.25"/>
  <cols>
    <col min="1" max="1" width="3.140625" customWidth="1"/>
    <col min="4" max="4" width="10.140625" customWidth="1"/>
    <col min="5" max="5" width="16" style="11" customWidth="1"/>
    <col min="6" max="6" width="11" customWidth="1"/>
    <col min="7" max="7" width="13.7109375" style="11" customWidth="1"/>
    <col min="8" max="8" width="14.42578125" style="11" customWidth="1"/>
    <col min="9" max="9" width="13.28515625" style="11" customWidth="1"/>
    <col min="10" max="10" width="15.42578125" style="12" customWidth="1"/>
    <col min="11" max="11" width="2.42578125" customWidth="1"/>
    <col min="12" max="12" width="15.5703125" customWidth="1"/>
    <col min="13" max="13" width="12.85546875" customWidth="1"/>
  </cols>
  <sheetData>
    <row r="2" spans="2:13" x14ac:dyDescent="0.25">
      <c r="B2" t="s">
        <v>17</v>
      </c>
      <c r="C2" t="s">
        <v>22</v>
      </c>
      <c r="D2" t="s">
        <v>50</v>
      </c>
      <c r="E2" s="11" t="s">
        <v>51</v>
      </c>
      <c r="F2" t="s">
        <v>52</v>
      </c>
      <c r="G2" s="11" t="s">
        <v>53</v>
      </c>
      <c r="H2" s="11" t="s">
        <v>54</v>
      </c>
      <c r="I2" s="11" t="s">
        <v>55</v>
      </c>
      <c r="J2" s="12" t="s">
        <v>56</v>
      </c>
      <c r="L2" s="9" t="s">
        <v>57</v>
      </c>
      <c r="M2" s="10"/>
    </row>
    <row r="3" spans="2:13" x14ac:dyDescent="0.25">
      <c r="B3" t="s">
        <v>4</v>
      </c>
      <c r="C3" t="str">
        <f>VLOOKUP(TbCarteiraAcoes[[#This Row],[Ativo]],TbAtivos!$C$3:$E$500,2,FALSE)</f>
        <v>EMPRESA</v>
      </c>
      <c r="D3">
        <f>VLOOKUP(TbCarteiraAcoes[[#This Row],[Ativo]],TbAtivos!$C$3:$E$500,3,FALSE)</f>
        <v>7.88</v>
      </c>
      <c r="E3" s="11">
        <f ca="1">SUMIFS(TbAportes[Total],TbAportes[Ativo],TbCarteiraAcoes[[#This Row],[Ativo]],TbAportes[Data],"&lt;="&amp;IF($M$2="",TODAY(),$M$2))</f>
        <v>2810</v>
      </c>
      <c r="F3">
        <f ca="1">SUMIFS(TbAportes[Qte],TbAportes[Ativo],TbCarteiraAcoes[[#This Row],[Ativo]],TbAportes[Data],"&lt;="&amp;IF($M$2="",TODAY(),$M$2))</f>
        <v>300</v>
      </c>
      <c r="G3" s="11">
        <f ca="1">TbCarteiraAcoes[[#This Row],[Total aportado]]/TbCarteiraAcoes[[#This Row],[Total qte]]</f>
        <v>9.3666666666666671</v>
      </c>
      <c r="H3" s="11">
        <f ca="1">TbCarteiraAcoes[[#This Row],[Total qte]]*TbCarteiraAcoes[[#This Row],[Cotação]]</f>
        <v>2364</v>
      </c>
      <c r="I3" s="11">
        <f ca="1">TbCarteiraAcoes[[#This Row],[Total atual]]-TbCarteiraAcoes[[#This Row],[Total aportado]]</f>
        <v>-446</v>
      </c>
      <c r="J3" s="12">
        <f ca="1">TbCarteiraAcoes[[#This Row],[Total atual]]/TbCarteiraAcoes[[#This Row],[Total aportado]]-1</f>
        <v>-0.15871886120996437</v>
      </c>
    </row>
    <row r="4" spans="2:13" x14ac:dyDescent="0.25">
      <c r="B4" t="s">
        <v>6</v>
      </c>
      <c r="C4" t="str">
        <f>VLOOKUP(TbCarteiraAcoes[[#This Row],[Ativo]],TbAtivos!$C$3:$E$500,2,FALSE)</f>
        <v>EMPRESA</v>
      </c>
      <c r="D4">
        <f>VLOOKUP(TbCarteiraAcoes[[#This Row],[Ativo]],TbAtivos!$C$3:$E$500,3,FALSE)</f>
        <v>20.149999999999999</v>
      </c>
      <c r="E4" s="11">
        <f ca="1">SUMIFS(TbAportes[Total],TbAportes[Ativo],TbCarteiraAcoes[[#This Row],[Ativo]],TbAportes[Data],"&lt;="&amp;IF($M$2="",TODAY(),$M$2))</f>
        <v>4027</v>
      </c>
      <c r="F4">
        <f ca="1">SUMIFS(TbAportes[Qte],TbAportes[Ativo],TbCarteiraAcoes[[#This Row],[Ativo]],TbAportes[Data],"&lt;="&amp;IF($M$2="",TODAY(),$M$2))</f>
        <v>200</v>
      </c>
      <c r="G4" s="11">
        <f ca="1">TbCarteiraAcoes[[#This Row],[Total aportado]]/TbCarteiraAcoes[[#This Row],[Total qte]]</f>
        <v>20.135000000000002</v>
      </c>
      <c r="H4" s="11">
        <f ca="1">TbCarteiraAcoes[[#This Row],[Total qte]]*TbCarteiraAcoes[[#This Row],[Cotação]]</f>
        <v>4029.9999999999995</v>
      </c>
      <c r="I4" s="11">
        <f ca="1">TbCarteiraAcoes[[#This Row],[Total atual]]-TbCarteiraAcoes[[#This Row],[Total aportado]]</f>
        <v>2.9999999999995453</v>
      </c>
      <c r="J4" s="12">
        <f ca="1">TbCarteiraAcoes[[#This Row],[Total atual]]/TbCarteiraAcoes[[#This Row],[Total aportado]]-1</f>
        <v>7.4497144276119975E-4</v>
      </c>
    </row>
    <row r="5" spans="2:13" x14ac:dyDescent="0.25">
      <c r="B5" t="s">
        <v>7</v>
      </c>
      <c r="C5" t="str">
        <f>VLOOKUP(TbCarteiraAcoes[[#This Row],[Ativo]],TbAtivos!$C$3:$E$500,2,FALSE)</f>
        <v>EMPRESA</v>
      </c>
      <c r="D5">
        <f>VLOOKUP(TbCarteiraAcoes[[#This Row],[Ativo]],TbAtivos!$C$3:$E$500,3,FALSE)</f>
        <v>8.14</v>
      </c>
      <c r="E5" s="11">
        <f ca="1">SUMIFS(TbAportes[Total],TbAportes[Ativo],TbCarteiraAcoes[[#This Row],[Ativo]],TbAportes[Data],"&lt;="&amp;IF($M$2="",TODAY(),$M$2))</f>
        <v>2512</v>
      </c>
      <c r="F5">
        <f ca="1">SUMIFS(TbAportes[Qte],TbAportes[Ativo],TbCarteiraAcoes[[#This Row],[Ativo]],TbAportes[Data],"&lt;="&amp;IF($M$2="",TODAY(),$M$2))</f>
        <v>300</v>
      </c>
      <c r="G5" s="11">
        <f ca="1">TbCarteiraAcoes[[#This Row],[Total aportado]]/TbCarteiraAcoes[[#This Row],[Total qte]]</f>
        <v>8.3733333333333331</v>
      </c>
      <c r="H5" s="11">
        <f ca="1">TbCarteiraAcoes[[#This Row],[Total qte]]*TbCarteiraAcoes[[#This Row],[Cotação]]</f>
        <v>2442</v>
      </c>
      <c r="I5" s="11">
        <f ca="1">TbCarteiraAcoes[[#This Row],[Total atual]]-TbCarteiraAcoes[[#This Row],[Total aportado]]</f>
        <v>-70</v>
      </c>
      <c r="J5" s="12">
        <f ca="1">TbCarteiraAcoes[[#This Row],[Total atual]]/TbCarteiraAcoes[[#This Row],[Total aportado]]-1</f>
        <v>-2.7866242038216527E-2</v>
      </c>
    </row>
    <row r="6" spans="2:13" x14ac:dyDescent="0.25">
      <c r="B6" t="s">
        <v>8</v>
      </c>
      <c r="C6" t="str">
        <f>VLOOKUP(TbCarteiraAcoes[[#This Row],[Ativo]],TbAtivos!$C$3:$E$500,2,FALSE)</f>
        <v>EMPRESA</v>
      </c>
      <c r="D6">
        <f>VLOOKUP(TbCarteiraAcoes[[#This Row],[Ativo]],TbAtivos!$C$3:$E$500,3,FALSE)</f>
        <v>17.149999999999999</v>
      </c>
      <c r="E6" s="11">
        <f ca="1">SUMIFS(TbAportes[Total],TbAportes[Ativo],TbCarteiraAcoes[[#This Row],[Ativo]],TbAportes[Data],"&lt;="&amp;IF($M$2="",TODAY(),$M$2))</f>
        <v>6614</v>
      </c>
      <c r="F6">
        <f ca="1">SUMIFS(TbAportes[Qte],TbAportes[Ativo],TbCarteiraAcoes[[#This Row],[Ativo]],TbAportes[Data],"&lt;="&amp;IF($M$2="",TODAY(),$M$2))</f>
        <v>400</v>
      </c>
      <c r="G6" s="11">
        <f ca="1">TbCarteiraAcoes[[#This Row],[Total aportado]]/TbCarteiraAcoes[[#This Row],[Total qte]]</f>
        <v>16.535</v>
      </c>
      <c r="H6" s="11">
        <f ca="1">TbCarteiraAcoes[[#This Row],[Total qte]]*TbCarteiraAcoes[[#This Row],[Cotação]]</f>
        <v>6859.9999999999991</v>
      </c>
      <c r="I6" s="11">
        <f ca="1">TbCarteiraAcoes[[#This Row],[Total atual]]-TbCarteiraAcoes[[#This Row],[Total aportado]]</f>
        <v>245.99999999999909</v>
      </c>
      <c r="J6" s="12">
        <f ca="1">TbCarteiraAcoes[[#This Row],[Total atual]]/TbCarteiraAcoes[[#This Row],[Total aportado]]-1</f>
        <v>3.7193831267009259E-2</v>
      </c>
    </row>
    <row r="7" spans="2:13" x14ac:dyDescent="0.25">
      <c r="B7" t="s">
        <v>15</v>
      </c>
      <c r="C7" t="str">
        <f>VLOOKUP(TbCarteiraAcoes[[#This Row],[Ativo]],TbAtivos!$C$3:$E$500,2,FALSE)</f>
        <v>EMPRESA</v>
      </c>
      <c r="D7">
        <f>VLOOKUP(TbCarteiraAcoes[[#This Row],[Ativo]],TbAtivos!$C$3:$E$500,3,FALSE)</f>
        <v>9.0500000000000007</v>
      </c>
      <c r="E7" s="11">
        <f ca="1">SUMIFS(TbAportes[Total],TbAportes[Ativo],TbCarteiraAcoes[[#This Row],[Ativo]],TbAportes[Data],"&lt;="&amp;IF($M$2="",TODAY(),$M$2))</f>
        <v>1635</v>
      </c>
      <c r="F7">
        <f ca="1">SUMIFS(TbAportes[Qte],TbAportes[Ativo],TbCarteiraAcoes[[#This Row],[Ativo]],TbAportes[Data],"&lt;="&amp;IF($M$2="",TODAY(),$M$2))</f>
        <v>200</v>
      </c>
      <c r="G7" s="11">
        <f ca="1">TbCarteiraAcoes[[#This Row],[Total aportado]]/TbCarteiraAcoes[[#This Row],[Total qte]]</f>
        <v>8.1750000000000007</v>
      </c>
      <c r="H7" s="11">
        <f ca="1">TbCarteiraAcoes[[#This Row],[Total qte]]*TbCarteiraAcoes[[#This Row],[Cotação]]</f>
        <v>1810.0000000000002</v>
      </c>
      <c r="I7" s="11">
        <f ca="1">TbCarteiraAcoes[[#This Row],[Total atual]]-TbCarteiraAcoes[[#This Row],[Total aportado]]</f>
        <v>175.00000000000023</v>
      </c>
      <c r="J7" s="12">
        <f ca="1">TbCarteiraAcoes[[#This Row],[Total atual]]/TbCarteiraAcoes[[#This Row],[Total aportado]]-1</f>
        <v>0.10703363914373099</v>
      </c>
    </row>
    <row r="8" spans="2:13" x14ac:dyDescent="0.25">
      <c r="B8" t="s">
        <v>21</v>
      </c>
      <c r="E8" s="11">
        <f ca="1">SUBTOTAL(109,TbCarteiraAcoes[Total aportado])</f>
        <v>17598</v>
      </c>
      <c r="G8"/>
      <c r="H8" s="11">
        <f ca="1">SUBTOTAL(109,TbCarteiraAcoes[Total atual])</f>
        <v>17506</v>
      </c>
      <c r="I8" s="11">
        <f ca="1">SUBTOTAL(109,TbCarteiraAcoes[Valorização])</f>
        <v>-92.000000000001137</v>
      </c>
    </row>
  </sheetData>
  <conditionalFormatting sqref="I3:I7">
    <cfRule type="cellIs" dxfId="2" priority="2" operator="lessThan">
      <formula>0</formula>
    </cfRule>
  </conditionalFormatting>
  <conditionalFormatting sqref="J3:J7">
    <cfRule type="cellIs" dxfId="1" priority="1" operator="lessThan">
      <formula>0</formula>
    </cfRule>
  </conditionalFormatting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7"/>
  <sheetViews>
    <sheetView showGridLines="0" zoomScale="130" zoomScaleNormal="130" workbookViewId="0">
      <selection activeCell="F10" sqref="F10"/>
    </sheetView>
  </sheetViews>
  <sheetFormatPr defaultRowHeight="15" x14ac:dyDescent="0.25"/>
  <cols>
    <col min="1" max="1" width="2.7109375" customWidth="1"/>
    <col min="4" max="4" width="10.140625" customWidth="1"/>
    <col min="5" max="5" width="16" style="11" customWidth="1"/>
    <col min="6" max="6" width="11" customWidth="1"/>
    <col min="7" max="7" width="13.7109375" style="11" customWidth="1"/>
    <col min="8" max="8" width="14.42578125" style="11" customWidth="1"/>
    <col min="9" max="9" width="13.28515625" style="11" customWidth="1"/>
    <col min="10" max="10" width="15.42578125" style="12" customWidth="1"/>
    <col min="11" max="11" width="2.42578125" customWidth="1"/>
    <col min="12" max="12" width="15.5703125" customWidth="1"/>
    <col min="13" max="13" width="12.85546875" customWidth="1"/>
  </cols>
  <sheetData>
    <row r="2" spans="2:13" x14ac:dyDescent="0.25">
      <c r="B2" t="s">
        <v>17</v>
      </c>
      <c r="C2" t="s">
        <v>22</v>
      </c>
      <c r="D2" t="s">
        <v>50</v>
      </c>
      <c r="E2" s="11" t="s">
        <v>51</v>
      </c>
      <c r="F2" t="s">
        <v>52</v>
      </c>
      <c r="G2" s="11" t="s">
        <v>53</v>
      </c>
      <c r="H2" s="11" t="s">
        <v>54</v>
      </c>
      <c r="I2" s="11" t="s">
        <v>55</v>
      </c>
      <c r="J2" s="12" t="s">
        <v>56</v>
      </c>
      <c r="L2" s="9" t="s">
        <v>57</v>
      </c>
      <c r="M2" s="10"/>
    </row>
    <row r="3" spans="2:13" x14ac:dyDescent="0.25">
      <c r="B3" t="s">
        <v>9</v>
      </c>
      <c r="C3" t="str">
        <f>VLOOKUP(TbCarteiraFII[[#This Row],[Ativo]],TbAtivos!$C$3:$E$500,2,FALSE)</f>
        <v>FII</v>
      </c>
      <c r="D3">
        <f>VLOOKUP(TbCarteiraFII[[#This Row],[Ativo]],TbAtivos!$C$3:$E$500,3,FALSE)</f>
        <v>194.98</v>
      </c>
      <c r="E3" s="11">
        <f ca="1">SUMIFS(TbAportes[Total],TbAportes[Ativo],TbCarteiraFII[[#This Row],[Ativo]],TbAportes[Data],"&lt;="&amp;IF($M$2="",TODAY(),$M$2))</f>
        <v>1714.35</v>
      </c>
      <c r="F3">
        <f ca="1">SUMIFS(TbAportes[Qte],TbAportes[Ativo],TbCarteiraFII[[#This Row],[Ativo]],TbAportes[Data],"&lt;="&amp;IF($M$2="",TODAY(),$M$2))</f>
        <v>9</v>
      </c>
      <c r="G3" s="11">
        <f ca="1">TbCarteiraFII[[#This Row],[Total aportado]]/TbCarteiraFII[[#This Row],[Total qte]]</f>
        <v>190.48333333333332</v>
      </c>
      <c r="H3" s="11">
        <f ca="1">TbCarteiraFII[[#This Row],[Total qte]]*TbCarteiraFII[[#This Row],[Cotação]]</f>
        <v>1754.82</v>
      </c>
      <c r="I3" s="11">
        <f ca="1">TbCarteiraFII[[#This Row],[Total atual]]-TbCarteiraFII[[#This Row],[Total aportado]]</f>
        <v>40.470000000000027</v>
      </c>
      <c r="J3" s="12">
        <f ca="1">TbCarteiraFII[[#This Row],[Total atual]]/TbCarteiraFII[[#This Row],[Total aportado]]-1</f>
        <v>2.3606614751946919E-2</v>
      </c>
    </row>
    <row r="4" spans="2:13" x14ac:dyDescent="0.25">
      <c r="B4" t="s">
        <v>11</v>
      </c>
      <c r="C4" t="str">
        <f>VLOOKUP(TbCarteiraFII[[#This Row],[Ativo]],TbAtivos!$C$3:$E$500,2,FALSE)</f>
        <v>FII</v>
      </c>
      <c r="D4">
        <f>VLOOKUP(TbCarteiraFII[[#This Row],[Ativo]],TbAtivos!$C$3:$E$500,3,FALSE)</f>
        <v>174.47</v>
      </c>
      <c r="E4" s="11">
        <f ca="1">SUMIFS(TbAportes[Total],TbAportes[Ativo],TbCarteiraFII[[#This Row],[Ativo]],TbAportes[Data],"&lt;="&amp;IF($M$2="",TODAY(),$M$2))</f>
        <v>2350.81</v>
      </c>
      <c r="F4">
        <f ca="1">SUMIFS(TbAportes[Qte],TbAportes[Ativo],TbCarteiraFII[[#This Row],[Ativo]],TbAportes[Data],"&lt;="&amp;IF($M$2="",TODAY(),$M$2))</f>
        <v>17</v>
      </c>
      <c r="G4" s="11">
        <f ca="1">TbCarteiraFII[[#This Row],[Total aportado]]/TbCarteiraFII[[#This Row],[Total qte]]</f>
        <v>138.28294117647059</v>
      </c>
      <c r="H4" s="11">
        <f ca="1">TbCarteiraFII[[#This Row],[Total qte]]*TbCarteiraFII[[#This Row],[Cotação]]</f>
        <v>2965.99</v>
      </c>
      <c r="I4" s="11">
        <f ca="1">TbCarteiraFII[[#This Row],[Total atual]]-TbCarteiraFII[[#This Row],[Total aportado]]</f>
        <v>615.17999999999984</v>
      </c>
      <c r="J4" s="12">
        <f ca="1">TbCarteiraFII[[#This Row],[Total atual]]/TbCarteiraFII[[#This Row],[Total aportado]]-1</f>
        <v>0.26168852438095791</v>
      </c>
    </row>
    <row r="5" spans="2:13" x14ac:dyDescent="0.25">
      <c r="B5" t="s">
        <v>12</v>
      </c>
      <c r="C5" t="str">
        <f>VLOOKUP(TbCarteiraFII[[#This Row],[Ativo]],TbAtivos!$C$3:$E$500,2,FALSE)</f>
        <v>FII</v>
      </c>
      <c r="D5">
        <f>VLOOKUP(TbCarteiraFII[[#This Row],[Ativo]],TbAtivos!$C$3:$E$500,3,FALSE)</f>
        <v>141.94</v>
      </c>
      <c r="E5" s="11">
        <f ca="1">SUMIFS(TbAportes[Total],TbAportes[Ativo],TbCarteiraFII[[#This Row],[Ativo]],TbAportes[Data],"&lt;="&amp;IF($M$2="",TODAY(),$M$2))</f>
        <v>2492.5699999999997</v>
      </c>
      <c r="F5">
        <f ca="1">SUMIFS(TbAportes[Qte],TbAportes[Ativo],TbCarteiraFII[[#This Row],[Ativo]],TbAportes[Data],"&lt;="&amp;IF($M$2="",TODAY(),$M$2))</f>
        <v>19</v>
      </c>
      <c r="G5" s="11">
        <f ca="1">TbCarteiraFII[[#This Row],[Total aportado]]/TbCarteiraFII[[#This Row],[Total qte]]</f>
        <v>131.18789473684208</v>
      </c>
      <c r="H5" s="11">
        <f ca="1">TbCarteiraFII[[#This Row],[Total qte]]*TbCarteiraFII[[#This Row],[Cotação]]</f>
        <v>2696.86</v>
      </c>
      <c r="I5" s="11">
        <f ca="1">TbCarteiraFII[[#This Row],[Total atual]]-TbCarteiraFII[[#This Row],[Total aportado]]</f>
        <v>204.29000000000042</v>
      </c>
      <c r="J5" s="12">
        <f ca="1">TbCarteiraFII[[#This Row],[Total atual]]/TbCarteiraFII[[#This Row],[Total aportado]]-1</f>
        <v>8.1959583883301379E-2</v>
      </c>
    </row>
    <row r="6" spans="2:13" x14ac:dyDescent="0.25">
      <c r="B6" t="s">
        <v>13</v>
      </c>
      <c r="C6" t="str">
        <f>VLOOKUP(TbCarteiraFII[[#This Row],[Ativo]],TbAtivos!$C$3:$E$500,2,FALSE)</f>
        <v>FII</v>
      </c>
      <c r="D6">
        <f>VLOOKUP(TbCarteiraFII[[#This Row],[Ativo]],TbAtivos!$C$3:$E$500,3,FALSE)</f>
        <v>161.91</v>
      </c>
      <c r="E6" s="11">
        <f ca="1">SUMIFS(TbAportes[Total],TbAportes[Ativo],TbCarteiraFII[[#This Row],[Ativo]],TbAportes[Data],"&lt;="&amp;IF($M$2="",TODAY(),$M$2))</f>
        <v>2635.3</v>
      </c>
      <c r="F6">
        <f ca="1">SUMIFS(TbAportes[Qte],TbAportes[Ativo],TbCarteiraFII[[#This Row],[Ativo]],TbAportes[Data],"&lt;="&amp;IF($M$2="",TODAY(),$M$2))</f>
        <v>18</v>
      </c>
      <c r="G6" s="11">
        <f ca="1">TbCarteiraFII[[#This Row],[Total aportado]]/TbCarteiraFII[[#This Row],[Total qte]]</f>
        <v>146.40555555555557</v>
      </c>
      <c r="H6" s="11">
        <f ca="1">TbCarteiraFII[[#This Row],[Total qte]]*TbCarteiraFII[[#This Row],[Cotação]]</f>
        <v>2914.38</v>
      </c>
      <c r="I6" s="11">
        <f ca="1">TbCarteiraFII[[#This Row],[Total atual]]-TbCarteiraFII[[#This Row],[Total aportado]]</f>
        <v>279.07999999999993</v>
      </c>
      <c r="J6" s="12">
        <f ca="1">TbCarteiraFII[[#This Row],[Total atual]]/TbCarteiraFII[[#This Row],[Total aportado]]-1</f>
        <v>0.10590065647174884</v>
      </c>
    </row>
    <row r="7" spans="2:13" x14ac:dyDescent="0.25">
      <c r="B7" t="s">
        <v>21</v>
      </c>
      <c r="E7" s="11">
        <f ca="1">SUBTOTAL(109,TbCarteiraFII[Total aportado])</f>
        <v>9193.0299999999988</v>
      </c>
      <c r="G7"/>
      <c r="H7" s="11">
        <f ca="1">SUBTOTAL(109,TbCarteiraFII[Total atual])</f>
        <v>10332.049999999999</v>
      </c>
      <c r="I7" s="11">
        <f ca="1">SUBTOTAL(109,TbCarteiraFII[Valorização])</f>
        <v>1139.0200000000002</v>
      </c>
    </row>
  </sheetData>
  <conditionalFormatting sqref="I3:J6"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O16"/>
  <sheetViews>
    <sheetView showGridLines="0" workbookViewId="0">
      <selection activeCell="J20" sqref="J20"/>
    </sheetView>
  </sheetViews>
  <sheetFormatPr defaultRowHeight="15" x14ac:dyDescent="0.25"/>
  <cols>
    <col min="1" max="1" width="3.42578125" customWidth="1"/>
    <col min="2" max="2" width="21" bestFit="1" customWidth="1"/>
    <col min="3" max="3" width="19.5703125" customWidth="1"/>
    <col min="4" max="12" width="7.85546875" customWidth="1"/>
    <col min="13" max="13" width="8" customWidth="1"/>
    <col min="14" max="14" width="7.85546875" customWidth="1"/>
    <col min="15" max="15" width="10.7109375" bestFit="1" customWidth="1"/>
  </cols>
  <sheetData>
    <row r="3" spans="2:15" x14ac:dyDescent="0.25">
      <c r="B3" s="5" t="s">
        <v>49</v>
      </c>
      <c r="C3" s="5" t="s">
        <v>33</v>
      </c>
    </row>
    <row r="4" spans="2:15" x14ac:dyDescent="0.25">
      <c r="B4" s="5" t="s">
        <v>31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47</v>
      </c>
      <c r="O4" t="s">
        <v>32</v>
      </c>
    </row>
    <row r="5" spans="2:15" x14ac:dyDescent="0.25">
      <c r="B5" s="6" t="s">
        <v>5</v>
      </c>
      <c r="C5">
        <v>39.479999999999997</v>
      </c>
      <c r="D5">
        <v>61</v>
      </c>
      <c r="E5">
        <v>65.430000000000007</v>
      </c>
      <c r="F5">
        <v>163.66</v>
      </c>
      <c r="G5">
        <v>162.75</v>
      </c>
      <c r="H5">
        <v>156.13999999999999</v>
      </c>
      <c r="I5">
        <v>166</v>
      </c>
      <c r="J5">
        <v>162.75</v>
      </c>
      <c r="K5">
        <v>156.13999999999999</v>
      </c>
      <c r="L5">
        <v>166</v>
      </c>
      <c r="M5">
        <v>484.89</v>
      </c>
      <c r="N5">
        <v>162.75</v>
      </c>
      <c r="O5">
        <v>1946.99</v>
      </c>
    </row>
    <row r="6" spans="2:15" x14ac:dyDescent="0.25">
      <c r="B6" s="7" t="s">
        <v>4</v>
      </c>
      <c r="L6">
        <v>166</v>
      </c>
      <c r="O6">
        <v>166</v>
      </c>
    </row>
    <row r="7" spans="2:15" x14ac:dyDescent="0.25">
      <c r="B7" s="7" t="s">
        <v>6</v>
      </c>
      <c r="F7">
        <v>163.66</v>
      </c>
      <c r="K7">
        <v>156.13999999999999</v>
      </c>
      <c r="O7">
        <v>319.79999999999995</v>
      </c>
    </row>
    <row r="8" spans="2:15" x14ac:dyDescent="0.25">
      <c r="B8" s="7" t="s">
        <v>7</v>
      </c>
      <c r="C8">
        <v>39.479999999999997</v>
      </c>
      <c r="E8">
        <v>65.430000000000007</v>
      </c>
      <c r="G8">
        <v>162.75</v>
      </c>
      <c r="I8">
        <v>166</v>
      </c>
      <c r="M8">
        <v>328.75</v>
      </c>
      <c r="O8">
        <v>762.41</v>
      </c>
    </row>
    <row r="9" spans="2:15" x14ac:dyDescent="0.25">
      <c r="B9" s="7" t="s">
        <v>8</v>
      </c>
      <c r="D9">
        <v>61</v>
      </c>
      <c r="J9">
        <v>162.75</v>
      </c>
      <c r="O9">
        <v>223.75</v>
      </c>
    </row>
    <row r="10" spans="2:15" x14ac:dyDescent="0.25">
      <c r="B10" s="7" t="s">
        <v>15</v>
      </c>
      <c r="H10">
        <v>156.13999999999999</v>
      </c>
      <c r="M10">
        <v>156.13999999999999</v>
      </c>
      <c r="N10">
        <v>162.75</v>
      </c>
      <c r="O10">
        <v>475.03</v>
      </c>
    </row>
    <row r="11" spans="2:15" x14ac:dyDescent="0.25">
      <c r="B11" s="6" t="s">
        <v>10</v>
      </c>
      <c r="C11">
        <v>217.66</v>
      </c>
      <c r="D11">
        <v>228.62</v>
      </c>
      <c r="E11">
        <v>358.32</v>
      </c>
      <c r="F11">
        <v>308.72000000000003</v>
      </c>
      <c r="G11">
        <v>433.18</v>
      </c>
      <c r="H11">
        <v>358.32</v>
      </c>
      <c r="I11">
        <v>308.72000000000003</v>
      </c>
      <c r="J11">
        <v>433.18</v>
      </c>
      <c r="K11">
        <v>357.29</v>
      </c>
      <c r="L11">
        <v>308.72000000000003</v>
      </c>
      <c r="M11">
        <v>1100.22</v>
      </c>
      <c r="N11">
        <v>433.18</v>
      </c>
      <c r="O11">
        <v>4846.1299999999992</v>
      </c>
    </row>
    <row r="12" spans="2:15" x14ac:dyDescent="0.25">
      <c r="B12" s="7" t="s">
        <v>9</v>
      </c>
      <c r="C12">
        <v>63</v>
      </c>
      <c r="D12">
        <v>75.709999999999994</v>
      </c>
      <c r="E12">
        <v>61</v>
      </c>
      <c r="F12">
        <v>37.44</v>
      </c>
      <c r="G12">
        <v>61</v>
      </c>
      <c r="H12">
        <v>61</v>
      </c>
      <c r="I12">
        <v>37.44</v>
      </c>
      <c r="J12">
        <v>61</v>
      </c>
      <c r="K12">
        <v>59.97</v>
      </c>
      <c r="L12">
        <v>37.44</v>
      </c>
      <c r="M12">
        <v>159.44</v>
      </c>
      <c r="N12">
        <v>61</v>
      </c>
      <c r="O12">
        <v>775.44</v>
      </c>
    </row>
    <row r="13" spans="2:15" x14ac:dyDescent="0.25">
      <c r="B13" s="7" t="s">
        <v>11</v>
      </c>
      <c r="C13">
        <v>81</v>
      </c>
      <c r="D13">
        <v>39.36</v>
      </c>
      <c r="E13">
        <v>99</v>
      </c>
      <c r="F13">
        <v>52.02</v>
      </c>
      <c r="G13">
        <v>180.6</v>
      </c>
      <c r="H13">
        <v>99</v>
      </c>
      <c r="I13">
        <v>52.02</v>
      </c>
      <c r="J13">
        <v>180.6</v>
      </c>
      <c r="K13">
        <v>99</v>
      </c>
      <c r="L13">
        <v>52.02</v>
      </c>
      <c r="M13">
        <v>331.62</v>
      </c>
      <c r="N13">
        <v>180.6</v>
      </c>
      <c r="O13">
        <v>1446.84</v>
      </c>
    </row>
    <row r="14" spans="2:15" x14ac:dyDescent="0.25">
      <c r="B14" s="7" t="s">
        <v>12</v>
      </c>
      <c r="C14">
        <v>38.89</v>
      </c>
      <c r="D14">
        <v>51.8</v>
      </c>
      <c r="E14">
        <v>99.9</v>
      </c>
      <c r="F14">
        <v>42.14</v>
      </c>
      <c r="G14">
        <v>38.4</v>
      </c>
      <c r="H14">
        <v>99.9</v>
      </c>
      <c r="I14">
        <v>42.14</v>
      </c>
      <c r="J14">
        <v>38.4</v>
      </c>
      <c r="K14">
        <v>99.9</v>
      </c>
      <c r="L14">
        <v>42.14</v>
      </c>
      <c r="M14">
        <v>180.44</v>
      </c>
      <c r="N14">
        <v>38.4</v>
      </c>
      <c r="O14">
        <v>812.44999999999993</v>
      </c>
    </row>
    <row r="15" spans="2:15" x14ac:dyDescent="0.25">
      <c r="B15" s="7" t="s">
        <v>13</v>
      </c>
      <c r="C15">
        <v>34.770000000000003</v>
      </c>
      <c r="D15">
        <v>61.75</v>
      </c>
      <c r="E15">
        <v>98.42</v>
      </c>
      <c r="F15">
        <v>177.12</v>
      </c>
      <c r="G15">
        <v>153.18</v>
      </c>
      <c r="H15">
        <v>98.42</v>
      </c>
      <c r="I15">
        <v>177.12</v>
      </c>
      <c r="J15">
        <v>153.18</v>
      </c>
      <c r="K15">
        <v>98.42</v>
      </c>
      <c r="L15">
        <v>177.12</v>
      </c>
      <c r="M15">
        <v>428.72</v>
      </c>
      <c r="N15">
        <v>153.18</v>
      </c>
      <c r="O15">
        <v>1811.4</v>
      </c>
    </row>
    <row r="16" spans="2:15" x14ac:dyDescent="0.25">
      <c r="B16" s="6" t="s">
        <v>32</v>
      </c>
      <c r="C16">
        <v>257.14</v>
      </c>
      <c r="D16">
        <v>289.62</v>
      </c>
      <c r="E16">
        <v>423.75000000000006</v>
      </c>
      <c r="F16">
        <v>472.38</v>
      </c>
      <c r="G16">
        <v>595.93000000000006</v>
      </c>
      <c r="H16">
        <v>514.45999999999992</v>
      </c>
      <c r="I16">
        <v>474.72</v>
      </c>
      <c r="J16">
        <v>595.93000000000006</v>
      </c>
      <c r="K16">
        <v>513.42999999999995</v>
      </c>
      <c r="L16">
        <v>474.72</v>
      </c>
      <c r="M16">
        <v>1585.11</v>
      </c>
      <c r="N16">
        <v>595.93000000000006</v>
      </c>
      <c r="O16">
        <v>6793.1200000000008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16"/>
  <sheetViews>
    <sheetView showGridLines="0" workbookViewId="0">
      <selection activeCell="H22" sqref="H22"/>
    </sheetView>
  </sheetViews>
  <sheetFormatPr defaultRowHeight="15" x14ac:dyDescent="0.25"/>
  <cols>
    <col min="1" max="1" width="4.85546875" customWidth="1"/>
    <col min="2" max="2" width="18" bestFit="1" customWidth="1"/>
    <col min="3" max="3" width="19.5703125" bestFit="1" customWidth="1"/>
    <col min="4" max="16" width="7.85546875" customWidth="1"/>
    <col min="17" max="17" width="10.7109375" bestFit="1" customWidth="1"/>
  </cols>
  <sheetData>
    <row r="1" spans="2:17" ht="13.5" customHeight="1" x14ac:dyDescent="0.25"/>
    <row r="3" spans="2:17" x14ac:dyDescent="0.25">
      <c r="B3" s="5" t="s">
        <v>48</v>
      </c>
      <c r="C3" s="5" t="s">
        <v>33</v>
      </c>
    </row>
    <row r="4" spans="2:17" x14ac:dyDescent="0.25">
      <c r="B4" s="5" t="s">
        <v>31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32</v>
      </c>
    </row>
    <row r="5" spans="2:17" x14ac:dyDescent="0.25">
      <c r="B5" s="6" t="s">
        <v>5</v>
      </c>
      <c r="C5" s="8">
        <v>1594</v>
      </c>
      <c r="D5" s="8">
        <v>1644</v>
      </c>
      <c r="E5" s="8">
        <v>788</v>
      </c>
      <c r="F5" s="8">
        <v>1985</v>
      </c>
      <c r="G5" s="8"/>
      <c r="H5" s="8">
        <v>1721</v>
      </c>
      <c r="I5" s="8">
        <v>1591</v>
      </c>
      <c r="J5" s="8">
        <v>2042</v>
      </c>
      <c r="K5" s="8">
        <v>1765.9999999999998</v>
      </c>
      <c r="L5" s="8">
        <v>1021.9999999999999</v>
      </c>
      <c r="M5" s="8">
        <v>1613</v>
      </c>
      <c r="N5" s="8">
        <v>962.99999999999989</v>
      </c>
      <c r="O5" s="8">
        <v>869</v>
      </c>
      <c r="P5" s="8"/>
      <c r="Q5" s="8">
        <v>17598</v>
      </c>
    </row>
    <row r="6" spans="2:17" x14ac:dyDescent="0.25">
      <c r="B6" s="7" t="s">
        <v>4</v>
      </c>
      <c r="C6" s="8">
        <v>833</v>
      </c>
      <c r="D6" s="8"/>
      <c r="E6" s="8"/>
      <c r="F6" s="8"/>
      <c r="G6" s="8"/>
      <c r="H6" s="8">
        <v>954.99999999999989</v>
      </c>
      <c r="I6" s="8"/>
      <c r="J6" s="8"/>
      <c r="K6" s="8"/>
      <c r="L6" s="8">
        <v>1021.9999999999999</v>
      </c>
      <c r="M6" s="8"/>
      <c r="N6" s="8"/>
      <c r="O6" s="8"/>
      <c r="P6" s="8"/>
      <c r="Q6" s="8">
        <v>2810</v>
      </c>
    </row>
    <row r="7" spans="2:17" x14ac:dyDescent="0.25">
      <c r="B7" s="7" t="s">
        <v>6</v>
      </c>
      <c r="C7" s="8"/>
      <c r="D7" s="8"/>
      <c r="E7" s="8"/>
      <c r="F7" s="8">
        <v>1985</v>
      </c>
      <c r="G7" s="8"/>
      <c r="H7" s="8"/>
      <c r="I7" s="8"/>
      <c r="J7" s="8">
        <v>2042</v>
      </c>
      <c r="K7" s="8"/>
      <c r="L7" s="8"/>
      <c r="M7" s="8"/>
      <c r="N7" s="8"/>
      <c r="O7" s="8"/>
      <c r="P7" s="8"/>
      <c r="Q7" s="8">
        <v>4027</v>
      </c>
    </row>
    <row r="8" spans="2:17" x14ac:dyDescent="0.25">
      <c r="B8" s="7" t="s">
        <v>7</v>
      </c>
      <c r="C8" s="8">
        <v>761</v>
      </c>
      <c r="D8" s="8"/>
      <c r="E8" s="8">
        <v>788</v>
      </c>
      <c r="F8" s="8"/>
      <c r="G8" s="8"/>
      <c r="H8" s="8"/>
      <c r="I8" s="8"/>
      <c r="J8" s="8"/>
      <c r="K8" s="8"/>
      <c r="L8" s="8"/>
      <c r="M8" s="8"/>
      <c r="N8" s="8">
        <v>962.99999999999989</v>
      </c>
      <c r="O8" s="8"/>
      <c r="P8" s="8"/>
      <c r="Q8" s="8">
        <v>2512</v>
      </c>
    </row>
    <row r="9" spans="2:17" x14ac:dyDescent="0.25">
      <c r="B9" s="7" t="s">
        <v>8</v>
      </c>
      <c r="C9" s="8"/>
      <c r="D9" s="8">
        <v>1644</v>
      </c>
      <c r="E9" s="8"/>
      <c r="F9" s="8"/>
      <c r="G9" s="8"/>
      <c r="H9" s="8"/>
      <c r="I9" s="8">
        <v>1591</v>
      </c>
      <c r="J9" s="8"/>
      <c r="K9" s="8">
        <v>1765.9999999999998</v>
      </c>
      <c r="L9" s="8"/>
      <c r="M9" s="8">
        <v>1613</v>
      </c>
      <c r="N9" s="8"/>
      <c r="O9" s="8"/>
      <c r="P9" s="8"/>
      <c r="Q9" s="8">
        <v>6614</v>
      </c>
    </row>
    <row r="10" spans="2:17" x14ac:dyDescent="0.25">
      <c r="B10" s="7" t="s">
        <v>15</v>
      </c>
      <c r="C10" s="8"/>
      <c r="D10" s="8"/>
      <c r="E10" s="8"/>
      <c r="F10" s="8"/>
      <c r="G10" s="8"/>
      <c r="H10" s="8">
        <v>766</v>
      </c>
      <c r="I10" s="8"/>
      <c r="J10" s="8"/>
      <c r="K10" s="8"/>
      <c r="L10" s="8"/>
      <c r="M10" s="8"/>
      <c r="N10" s="8"/>
      <c r="O10" s="8">
        <v>869</v>
      </c>
      <c r="P10" s="8"/>
      <c r="Q10" s="8">
        <v>1635</v>
      </c>
    </row>
    <row r="11" spans="2:17" x14ac:dyDescent="0.25">
      <c r="B11" s="6" t="s">
        <v>10</v>
      </c>
      <c r="C11" s="8"/>
      <c r="D11" s="8">
        <v>704.9</v>
      </c>
      <c r="E11" s="8">
        <v>991.52</v>
      </c>
      <c r="F11" s="8">
        <v>551.46</v>
      </c>
      <c r="G11" s="8">
        <v>635.83000000000004</v>
      </c>
      <c r="H11" s="8"/>
      <c r="I11" s="8">
        <v>679.05</v>
      </c>
      <c r="J11" s="8">
        <v>191.74</v>
      </c>
      <c r="K11" s="8">
        <v>972.57999999999993</v>
      </c>
      <c r="L11" s="8">
        <v>268.2</v>
      </c>
      <c r="M11" s="8">
        <v>971.15</v>
      </c>
      <c r="N11" s="8">
        <v>430.65000000000003</v>
      </c>
      <c r="O11" s="8">
        <v>716.15</v>
      </c>
      <c r="P11" s="8">
        <v>2079.8000000000002</v>
      </c>
      <c r="Q11" s="8">
        <v>9193.0299999999988</v>
      </c>
    </row>
    <row r="12" spans="2:17" x14ac:dyDescent="0.25">
      <c r="B12" s="7" t="s">
        <v>9</v>
      </c>
      <c r="C12" s="8"/>
      <c r="D12" s="8"/>
      <c r="E12" s="8"/>
      <c r="F12" s="8">
        <v>551.46</v>
      </c>
      <c r="G12" s="8"/>
      <c r="H12" s="8"/>
      <c r="I12" s="8"/>
      <c r="J12" s="8">
        <v>191.74</v>
      </c>
      <c r="K12" s="8"/>
      <c r="L12" s="8"/>
      <c r="M12" s="8">
        <v>971.15</v>
      </c>
      <c r="N12" s="8"/>
      <c r="O12" s="8"/>
      <c r="P12" s="8"/>
      <c r="Q12" s="8">
        <v>1714.35</v>
      </c>
    </row>
    <row r="13" spans="2:17" x14ac:dyDescent="0.25">
      <c r="B13" s="7" t="s">
        <v>11</v>
      </c>
      <c r="C13" s="8"/>
      <c r="D13" s="8">
        <v>704.9</v>
      </c>
      <c r="E13" s="8"/>
      <c r="F13" s="8"/>
      <c r="G13" s="8">
        <v>242.68</v>
      </c>
      <c r="H13" s="8"/>
      <c r="I13" s="8"/>
      <c r="J13" s="8"/>
      <c r="K13" s="8">
        <v>972.57999999999993</v>
      </c>
      <c r="L13" s="8"/>
      <c r="M13" s="8"/>
      <c r="N13" s="8">
        <v>430.65000000000003</v>
      </c>
      <c r="O13" s="8"/>
      <c r="P13" s="8"/>
      <c r="Q13" s="8">
        <v>2350.81</v>
      </c>
    </row>
    <row r="14" spans="2:17" x14ac:dyDescent="0.25">
      <c r="B14" s="7" t="s">
        <v>12</v>
      </c>
      <c r="C14" s="8"/>
      <c r="D14" s="8"/>
      <c r="E14" s="8">
        <v>991.52</v>
      </c>
      <c r="F14" s="8"/>
      <c r="G14" s="8"/>
      <c r="H14" s="8"/>
      <c r="I14" s="8">
        <v>679.05</v>
      </c>
      <c r="J14" s="8"/>
      <c r="K14" s="8"/>
      <c r="L14" s="8">
        <v>268.2</v>
      </c>
      <c r="M14" s="8"/>
      <c r="N14" s="8"/>
      <c r="O14" s="8"/>
      <c r="P14" s="8">
        <v>553.79999999999995</v>
      </c>
      <c r="Q14" s="8">
        <v>2492.5699999999997</v>
      </c>
    </row>
    <row r="15" spans="2:17" x14ac:dyDescent="0.25">
      <c r="B15" s="7" t="s">
        <v>13</v>
      </c>
      <c r="C15" s="8"/>
      <c r="D15" s="8"/>
      <c r="E15" s="8"/>
      <c r="F15" s="8"/>
      <c r="G15" s="8">
        <v>393.15000000000003</v>
      </c>
      <c r="H15" s="8"/>
      <c r="I15" s="8"/>
      <c r="J15" s="8"/>
      <c r="K15" s="8"/>
      <c r="L15" s="8"/>
      <c r="M15" s="8"/>
      <c r="N15" s="8"/>
      <c r="O15" s="8">
        <v>716.15</v>
      </c>
      <c r="P15" s="8">
        <v>1526</v>
      </c>
      <c r="Q15" s="8">
        <v>2635.3</v>
      </c>
    </row>
    <row r="16" spans="2:17" x14ac:dyDescent="0.25">
      <c r="B16" s="6" t="s">
        <v>32</v>
      </c>
      <c r="C16" s="8">
        <v>1594</v>
      </c>
      <c r="D16" s="8">
        <v>2348.9</v>
      </c>
      <c r="E16" s="8">
        <v>1779.52</v>
      </c>
      <c r="F16" s="8">
        <v>2536.46</v>
      </c>
      <c r="G16" s="8">
        <v>635.83000000000004</v>
      </c>
      <c r="H16" s="8">
        <v>1721</v>
      </c>
      <c r="I16" s="8">
        <v>2270.0500000000002</v>
      </c>
      <c r="J16" s="8">
        <v>2233.7399999999998</v>
      </c>
      <c r="K16" s="8">
        <v>2738.58</v>
      </c>
      <c r="L16" s="8">
        <v>1290.1999999999998</v>
      </c>
      <c r="M16" s="8">
        <v>2584.15</v>
      </c>
      <c r="N16" s="8">
        <v>1393.6499999999999</v>
      </c>
      <c r="O16" s="8">
        <v>1585.15</v>
      </c>
      <c r="P16" s="8">
        <v>2079.8000000000002</v>
      </c>
      <c r="Q16" s="8">
        <v>26791.03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30"/>
  <sheetViews>
    <sheetView showGridLines="0" zoomScaleNormal="100" workbookViewId="0">
      <selection sqref="A1:XFD1048576"/>
    </sheetView>
  </sheetViews>
  <sheetFormatPr defaultRowHeight="20.100000000000001" customHeight="1" x14ac:dyDescent="0.25"/>
  <cols>
    <col min="1" max="1" width="3" style="2" customWidth="1"/>
    <col min="2" max="2" width="12.28515625" style="1" customWidth="1"/>
    <col min="3" max="4" width="9.140625" style="2"/>
    <col min="5" max="5" width="16.42578125" style="3" customWidth="1"/>
    <col min="6" max="6" width="9.140625" style="3"/>
    <col min="7" max="7" width="15.28515625" style="3" customWidth="1"/>
    <col min="8" max="8" width="11.42578125" style="2" customWidth="1"/>
    <col min="9" max="10" width="9.140625" style="2"/>
    <col min="11" max="11" width="11.42578125" style="2" customWidth="1"/>
    <col min="12" max="16384" width="9.140625" style="2"/>
  </cols>
  <sheetData>
    <row r="1" spans="2:11" ht="15.75" customHeight="1" x14ac:dyDescent="0.25"/>
    <row r="2" spans="2:11" ht="20.100000000000001" customHeight="1" x14ac:dyDescent="0.25">
      <c r="B2" s="1" t="s">
        <v>16</v>
      </c>
      <c r="C2" s="2" t="s">
        <v>17</v>
      </c>
      <c r="D2" s="2" t="s">
        <v>18</v>
      </c>
      <c r="E2" s="3" t="s">
        <v>19</v>
      </c>
      <c r="F2" s="3" t="s">
        <v>20</v>
      </c>
      <c r="G2" s="3" t="s">
        <v>21</v>
      </c>
      <c r="H2" s="2" t="s">
        <v>22</v>
      </c>
      <c r="I2" s="2" t="s">
        <v>23</v>
      </c>
      <c r="J2" s="2" t="s">
        <v>24</v>
      </c>
      <c r="K2" s="2" t="s">
        <v>25</v>
      </c>
    </row>
    <row r="3" spans="2:11" ht="20.100000000000001" customHeight="1" x14ac:dyDescent="0.25">
      <c r="B3" s="1">
        <v>43444</v>
      </c>
      <c r="C3" s="2" t="s">
        <v>7</v>
      </c>
      <c r="D3" s="2">
        <v>100</v>
      </c>
      <c r="E3" s="3">
        <v>7.51</v>
      </c>
      <c r="F3" s="3">
        <v>10</v>
      </c>
      <c r="G3" s="33">
        <f>TbAportes[[#This Row],[Valor unitário]]*TbAportes[[#This Row],[Qte]]+TbAportes[[#This Row],[Custo]]</f>
        <v>761</v>
      </c>
      <c r="H3" s="4" t="str">
        <f>VLOOKUP(TbAportes[[#This Row],[Ativo]],TbAtivos!$C$3:$E$500,2,FALSE)</f>
        <v>EMPRESA</v>
      </c>
      <c r="I3" s="4">
        <f>YEAR(TbAportes[[#This Row],[Data]])</f>
        <v>2018</v>
      </c>
      <c r="J3" s="4">
        <f>MONTH(TbAportes[[#This Row],[Data]])</f>
        <v>12</v>
      </c>
      <c r="K3" s="4" t="str">
        <f>CONCATENATE(TbAportes[[#This Row],[Ano]],"/",IF(TbAportes[[#This Row],[Mês]]&lt;10,"0",""),TbAportes[[#This Row],[Mês]])</f>
        <v>2018/12</v>
      </c>
    </row>
    <row r="4" spans="2:11" ht="20.100000000000001" customHeight="1" x14ac:dyDescent="0.25">
      <c r="B4" s="1">
        <v>43444</v>
      </c>
      <c r="C4" s="2" t="s">
        <v>4</v>
      </c>
      <c r="D4" s="2">
        <v>100</v>
      </c>
      <c r="E4" s="3">
        <v>8.23</v>
      </c>
      <c r="F4" s="3">
        <v>10</v>
      </c>
      <c r="G4" s="33">
        <f>TbAportes[[#This Row],[Valor unitário]]*TbAportes[[#This Row],[Qte]]+TbAportes[[#This Row],[Custo]]</f>
        <v>833</v>
      </c>
      <c r="H4" s="4" t="str">
        <f>VLOOKUP(TbAportes[[#This Row],[Ativo]],TbAtivos!$C$3:$E$500,2,FALSE)</f>
        <v>EMPRESA</v>
      </c>
      <c r="I4" s="4">
        <f>YEAR(TbAportes[[#This Row],[Data]])</f>
        <v>2018</v>
      </c>
      <c r="J4" s="4">
        <f>MONTH(TbAportes[[#This Row],[Data]])</f>
        <v>12</v>
      </c>
      <c r="K4" s="4" t="str">
        <f>CONCATENATE(TbAportes[[#This Row],[Ano]],"/",IF(TbAportes[[#This Row],[Mês]]&lt;10,"0",""),TbAportes[[#This Row],[Mês]])</f>
        <v>2018/12</v>
      </c>
    </row>
    <row r="5" spans="2:11" ht="20.100000000000001" customHeight="1" x14ac:dyDescent="0.25">
      <c r="B5" s="1">
        <v>43475</v>
      </c>
      <c r="C5" s="2" t="s">
        <v>8</v>
      </c>
      <c r="D5" s="2">
        <v>100</v>
      </c>
      <c r="E5" s="3">
        <v>16.34</v>
      </c>
      <c r="F5" s="3">
        <v>10</v>
      </c>
      <c r="G5" s="33">
        <f>TbAportes[[#This Row],[Valor unitário]]*TbAportes[[#This Row],[Qte]]+TbAportes[[#This Row],[Custo]]</f>
        <v>1644</v>
      </c>
      <c r="H5" s="4" t="str">
        <f>VLOOKUP(TbAportes[[#This Row],[Ativo]],TbAtivos!$C$3:$E$500,2,FALSE)</f>
        <v>EMPRESA</v>
      </c>
      <c r="I5" s="4">
        <f>YEAR(TbAportes[[#This Row],[Data]])</f>
        <v>2019</v>
      </c>
      <c r="J5" s="4">
        <f>MONTH(TbAportes[[#This Row],[Data]])</f>
        <v>1</v>
      </c>
      <c r="K5" s="4" t="str">
        <f>CONCATENATE(TbAportes[[#This Row],[Ano]],"/",IF(TbAportes[[#This Row],[Mês]]&lt;10,"0",""),TbAportes[[#This Row],[Mês]])</f>
        <v>2019/01</v>
      </c>
    </row>
    <row r="6" spans="2:11" ht="20.100000000000001" customHeight="1" x14ac:dyDescent="0.25">
      <c r="B6" s="1">
        <v>43475</v>
      </c>
      <c r="C6" s="2" t="s">
        <v>11</v>
      </c>
      <c r="D6" s="2">
        <v>5</v>
      </c>
      <c r="E6" s="3">
        <v>140.97999999999999</v>
      </c>
      <c r="F6" s="3">
        <v>0</v>
      </c>
      <c r="G6" s="33">
        <f>TbAportes[[#This Row],[Valor unitário]]*TbAportes[[#This Row],[Qte]]+TbAportes[[#This Row],[Custo]]</f>
        <v>704.9</v>
      </c>
      <c r="H6" s="4" t="str">
        <f>VLOOKUP(TbAportes[[#This Row],[Ativo]],TbAtivos!$C$3:$E$500,2,FALSE)</f>
        <v>FII</v>
      </c>
      <c r="I6" s="4">
        <f>YEAR(TbAportes[[#This Row],[Data]])</f>
        <v>2019</v>
      </c>
      <c r="J6" s="4">
        <f>MONTH(TbAportes[[#This Row],[Data]])</f>
        <v>1</v>
      </c>
      <c r="K6" s="4" t="str">
        <f>CONCATENATE(TbAportes[[#This Row],[Ano]],"/",IF(TbAportes[[#This Row],[Mês]]&lt;10,"0",""),TbAportes[[#This Row],[Mês]])</f>
        <v>2019/01</v>
      </c>
    </row>
    <row r="7" spans="2:11" ht="20.100000000000001" customHeight="1" x14ac:dyDescent="0.25">
      <c r="B7" s="1">
        <v>43506</v>
      </c>
      <c r="C7" s="2" t="s">
        <v>7</v>
      </c>
      <c r="D7" s="2">
        <v>100</v>
      </c>
      <c r="E7" s="3">
        <v>7.78</v>
      </c>
      <c r="F7" s="3">
        <v>10</v>
      </c>
      <c r="G7" s="33">
        <f>TbAportes[[#This Row],[Valor unitário]]*TbAportes[[#This Row],[Qte]]+TbAportes[[#This Row],[Custo]]</f>
        <v>788</v>
      </c>
      <c r="H7" s="4" t="str">
        <f>VLOOKUP(TbAportes[[#This Row],[Ativo]],TbAtivos!$C$3:$E$500,2,FALSE)</f>
        <v>EMPRESA</v>
      </c>
      <c r="I7" s="4">
        <f>YEAR(TbAportes[[#This Row],[Data]])</f>
        <v>2019</v>
      </c>
      <c r="J7" s="4">
        <f>MONTH(TbAportes[[#This Row],[Data]])</f>
        <v>2</v>
      </c>
      <c r="K7" s="4" t="str">
        <f>CONCATENATE(TbAportes[[#This Row],[Ano]],"/",IF(TbAportes[[#This Row],[Mês]]&lt;10,"0",""),TbAportes[[#This Row],[Mês]])</f>
        <v>2019/02</v>
      </c>
    </row>
    <row r="8" spans="2:11" ht="20.100000000000001" customHeight="1" x14ac:dyDescent="0.25">
      <c r="B8" s="1">
        <v>43506</v>
      </c>
      <c r="C8" s="2" t="s">
        <v>12</v>
      </c>
      <c r="D8" s="2">
        <v>8</v>
      </c>
      <c r="E8" s="3">
        <v>123.94</v>
      </c>
      <c r="F8" s="3">
        <v>0</v>
      </c>
      <c r="G8" s="33">
        <f>TbAportes[[#This Row],[Valor unitário]]*TbAportes[[#This Row],[Qte]]+TbAportes[[#This Row],[Custo]]</f>
        <v>991.52</v>
      </c>
      <c r="H8" s="4" t="str">
        <f>VLOOKUP(TbAportes[[#This Row],[Ativo]],TbAtivos!$C$3:$E$500,2,FALSE)</f>
        <v>FII</v>
      </c>
      <c r="I8" s="4">
        <f>YEAR(TbAportes[[#This Row],[Data]])</f>
        <v>2019</v>
      </c>
      <c r="J8" s="4">
        <f>MONTH(TbAportes[[#This Row],[Data]])</f>
        <v>2</v>
      </c>
      <c r="K8" s="4" t="str">
        <f>CONCATENATE(TbAportes[[#This Row],[Ano]],"/",IF(TbAportes[[#This Row],[Mês]]&lt;10,"0",""),TbAportes[[#This Row],[Mês]])</f>
        <v>2019/02</v>
      </c>
    </row>
    <row r="9" spans="2:11" ht="20.100000000000001" customHeight="1" x14ac:dyDescent="0.25">
      <c r="B9" s="1">
        <v>43534</v>
      </c>
      <c r="C9" s="2" t="s">
        <v>6</v>
      </c>
      <c r="D9" s="2">
        <v>100</v>
      </c>
      <c r="E9" s="3">
        <v>19.75</v>
      </c>
      <c r="F9" s="3">
        <v>10</v>
      </c>
      <c r="G9" s="33">
        <f>TbAportes[[#This Row],[Valor unitário]]*TbAportes[[#This Row],[Qte]]+TbAportes[[#This Row],[Custo]]</f>
        <v>1985</v>
      </c>
      <c r="H9" s="4" t="str">
        <f>VLOOKUP(TbAportes[[#This Row],[Ativo]],TbAtivos!$C$3:$E$500,2,FALSE)</f>
        <v>EMPRESA</v>
      </c>
      <c r="I9" s="4">
        <f>YEAR(TbAportes[[#This Row],[Data]])</f>
        <v>2019</v>
      </c>
      <c r="J9" s="4">
        <f>MONTH(TbAportes[[#This Row],[Data]])</f>
        <v>3</v>
      </c>
      <c r="K9" s="4" t="str">
        <f>CONCATENATE(TbAportes[[#This Row],[Ano]],"/",IF(TbAportes[[#This Row],[Mês]]&lt;10,"0",""),TbAportes[[#This Row],[Mês]])</f>
        <v>2019/03</v>
      </c>
    </row>
    <row r="10" spans="2:11" ht="20.100000000000001" customHeight="1" x14ac:dyDescent="0.25">
      <c r="B10" s="1">
        <v>43534</v>
      </c>
      <c r="C10" s="2" t="s">
        <v>9</v>
      </c>
      <c r="D10" s="2">
        <v>3</v>
      </c>
      <c r="E10" s="3">
        <v>183.82</v>
      </c>
      <c r="F10" s="3">
        <v>0</v>
      </c>
      <c r="G10" s="33">
        <f>TbAportes[[#This Row],[Valor unitário]]*TbAportes[[#This Row],[Qte]]+TbAportes[[#This Row],[Custo]]</f>
        <v>551.46</v>
      </c>
      <c r="H10" s="4" t="str">
        <f>VLOOKUP(TbAportes[[#This Row],[Ativo]],TbAtivos!$C$3:$E$500,2,FALSE)</f>
        <v>FII</v>
      </c>
      <c r="I10" s="4">
        <f>YEAR(TbAportes[[#This Row],[Data]])</f>
        <v>2019</v>
      </c>
      <c r="J10" s="4">
        <f>MONTH(TbAportes[[#This Row],[Data]])</f>
        <v>3</v>
      </c>
      <c r="K10" s="4" t="str">
        <f>CONCATENATE(TbAportes[[#This Row],[Ano]],"/",IF(TbAportes[[#This Row],[Mês]]&lt;10,"0",""),TbAportes[[#This Row],[Mês]])</f>
        <v>2019/03</v>
      </c>
    </row>
    <row r="11" spans="2:11" ht="20.100000000000001" customHeight="1" x14ac:dyDescent="0.25">
      <c r="B11" s="1">
        <v>43565</v>
      </c>
      <c r="C11" s="2" t="s">
        <v>11</v>
      </c>
      <c r="D11" s="2">
        <v>2</v>
      </c>
      <c r="E11" s="3">
        <v>121.34</v>
      </c>
      <c r="F11" s="3">
        <v>0</v>
      </c>
      <c r="G11" s="33">
        <f>TbAportes[[#This Row],[Valor unitário]]*TbAportes[[#This Row],[Qte]]+TbAportes[[#This Row],[Custo]]</f>
        <v>242.68</v>
      </c>
      <c r="H11" s="4" t="str">
        <f>VLOOKUP(TbAportes[[#This Row],[Ativo]],TbAtivos!$C$3:$E$500,2,FALSE)</f>
        <v>FII</v>
      </c>
      <c r="I11" s="4">
        <f>YEAR(TbAportes[[#This Row],[Data]])</f>
        <v>2019</v>
      </c>
      <c r="J11" s="4">
        <f>MONTH(TbAportes[[#This Row],[Data]])</f>
        <v>4</v>
      </c>
      <c r="K11" s="4" t="str">
        <f>CONCATENATE(TbAportes[[#This Row],[Ano]],"/",IF(TbAportes[[#This Row],[Mês]]&lt;10,"0",""),TbAportes[[#This Row],[Mês]])</f>
        <v>2019/04</v>
      </c>
    </row>
    <row r="12" spans="2:11" ht="20.100000000000001" customHeight="1" x14ac:dyDescent="0.25">
      <c r="B12" s="1">
        <v>43565</v>
      </c>
      <c r="C12" s="2" t="s">
        <v>13</v>
      </c>
      <c r="D12" s="2">
        <v>3</v>
      </c>
      <c r="E12" s="3">
        <v>131.05000000000001</v>
      </c>
      <c r="F12" s="3">
        <v>0</v>
      </c>
      <c r="G12" s="33">
        <f>TbAportes[[#This Row],[Valor unitário]]*TbAportes[[#This Row],[Qte]]+TbAportes[[#This Row],[Custo]]</f>
        <v>393.15000000000003</v>
      </c>
      <c r="H12" s="4" t="str">
        <f>VLOOKUP(TbAportes[[#This Row],[Ativo]],TbAtivos!$C$3:$E$500,2,FALSE)</f>
        <v>FII</v>
      </c>
      <c r="I12" s="4">
        <f>YEAR(TbAportes[[#This Row],[Data]])</f>
        <v>2019</v>
      </c>
      <c r="J12" s="4">
        <f>MONTH(TbAportes[[#This Row],[Data]])</f>
        <v>4</v>
      </c>
      <c r="K12" s="4" t="str">
        <f>CONCATENATE(TbAportes[[#This Row],[Ano]],"/",IF(TbAportes[[#This Row],[Mês]]&lt;10,"0",""),TbAportes[[#This Row],[Mês]])</f>
        <v>2019/04</v>
      </c>
    </row>
    <row r="13" spans="2:11" ht="20.100000000000001" customHeight="1" x14ac:dyDescent="0.25">
      <c r="B13" s="1">
        <v>43595</v>
      </c>
      <c r="C13" s="2" t="s">
        <v>4</v>
      </c>
      <c r="D13" s="2">
        <v>100</v>
      </c>
      <c r="E13" s="3">
        <v>9.4499999999999993</v>
      </c>
      <c r="F13" s="3">
        <v>10</v>
      </c>
      <c r="G13" s="33">
        <f>TbAportes[[#This Row],[Valor unitário]]*TbAportes[[#This Row],[Qte]]+TbAportes[[#This Row],[Custo]]</f>
        <v>954.99999999999989</v>
      </c>
      <c r="H13" s="4" t="str">
        <f>VLOOKUP(TbAportes[[#This Row],[Ativo]],TbAtivos!$C$3:$E$500,2,FALSE)</f>
        <v>EMPRESA</v>
      </c>
      <c r="I13" s="4">
        <f>YEAR(TbAportes[[#This Row],[Data]])</f>
        <v>2019</v>
      </c>
      <c r="J13" s="4">
        <f>MONTH(TbAportes[[#This Row],[Data]])</f>
        <v>5</v>
      </c>
      <c r="K13" s="4" t="str">
        <f>CONCATENATE(TbAportes[[#This Row],[Ano]],"/",IF(TbAportes[[#This Row],[Mês]]&lt;10,"0",""),TbAportes[[#This Row],[Mês]])</f>
        <v>2019/05</v>
      </c>
    </row>
    <row r="14" spans="2:11" ht="20.100000000000001" customHeight="1" x14ac:dyDescent="0.25">
      <c r="B14" s="1">
        <v>43595</v>
      </c>
      <c r="C14" s="2" t="s">
        <v>15</v>
      </c>
      <c r="D14" s="2">
        <v>100</v>
      </c>
      <c r="E14" s="3">
        <v>7.56</v>
      </c>
      <c r="F14" s="3">
        <v>10</v>
      </c>
      <c r="G14" s="33">
        <f>TbAportes[[#This Row],[Valor unitário]]*TbAportes[[#This Row],[Qte]]+TbAportes[[#This Row],[Custo]]</f>
        <v>766</v>
      </c>
      <c r="H14" s="4" t="str">
        <f>VLOOKUP(TbAportes[[#This Row],[Ativo]],TbAtivos!$C$3:$E$500,2,FALSE)</f>
        <v>EMPRESA</v>
      </c>
      <c r="I14" s="4">
        <f>YEAR(TbAportes[[#This Row],[Data]])</f>
        <v>2019</v>
      </c>
      <c r="J14" s="4">
        <f>MONTH(TbAportes[[#This Row],[Data]])</f>
        <v>5</v>
      </c>
      <c r="K14" s="4" t="str">
        <f>CONCATENATE(TbAportes[[#This Row],[Ano]],"/",IF(TbAportes[[#This Row],[Mês]]&lt;10,"0",""),TbAportes[[#This Row],[Mês]])</f>
        <v>2019/05</v>
      </c>
    </row>
    <row r="15" spans="2:11" ht="20.100000000000001" customHeight="1" x14ac:dyDescent="0.25">
      <c r="B15" s="1">
        <v>43626</v>
      </c>
      <c r="C15" s="2" t="s">
        <v>12</v>
      </c>
      <c r="D15" s="2">
        <v>5</v>
      </c>
      <c r="E15" s="3">
        <v>135.81</v>
      </c>
      <c r="F15" s="3">
        <v>0</v>
      </c>
      <c r="G15" s="33">
        <f>TbAportes[[#This Row],[Valor unitário]]*TbAportes[[#This Row],[Qte]]+TbAportes[[#This Row],[Custo]]</f>
        <v>679.05</v>
      </c>
      <c r="H15" s="4" t="str">
        <f>VLOOKUP(TbAportes[[#This Row],[Ativo]],TbAtivos!$C$3:$E$500,2,FALSE)</f>
        <v>FII</v>
      </c>
      <c r="I15" s="4">
        <f>YEAR(TbAportes[[#This Row],[Data]])</f>
        <v>2019</v>
      </c>
      <c r="J15" s="4">
        <f>MONTH(TbAportes[[#This Row],[Data]])</f>
        <v>6</v>
      </c>
      <c r="K15" s="4" t="str">
        <f>CONCATENATE(TbAportes[[#This Row],[Ano]],"/",IF(TbAportes[[#This Row],[Mês]]&lt;10,"0",""),TbAportes[[#This Row],[Mês]])</f>
        <v>2019/06</v>
      </c>
    </row>
    <row r="16" spans="2:11" ht="20.100000000000001" customHeight="1" x14ac:dyDescent="0.25">
      <c r="B16" s="1">
        <v>43626</v>
      </c>
      <c r="C16" s="2" t="s">
        <v>8</v>
      </c>
      <c r="D16" s="2">
        <v>100</v>
      </c>
      <c r="E16" s="3">
        <v>15.81</v>
      </c>
      <c r="F16" s="3">
        <v>10</v>
      </c>
      <c r="G16" s="33">
        <f>TbAportes[[#This Row],[Valor unitário]]*TbAportes[[#This Row],[Qte]]+TbAportes[[#This Row],[Custo]]</f>
        <v>1591</v>
      </c>
      <c r="H16" s="4" t="str">
        <f>VLOOKUP(TbAportes[[#This Row],[Ativo]],TbAtivos!$C$3:$E$500,2,FALSE)</f>
        <v>EMPRESA</v>
      </c>
      <c r="I16" s="4">
        <f>YEAR(TbAportes[[#This Row],[Data]])</f>
        <v>2019</v>
      </c>
      <c r="J16" s="4">
        <f>MONTH(TbAportes[[#This Row],[Data]])</f>
        <v>6</v>
      </c>
      <c r="K16" s="4" t="str">
        <f>CONCATENATE(TbAportes[[#This Row],[Ano]],"/",IF(TbAportes[[#This Row],[Mês]]&lt;10,"0",""),TbAportes[[#This Row],[Mês]])</f>
        <v>2019/06</v>
      </c>
    </row>
    <row r="17" spans="2:11" ht="20.100000000000001" customHeight="1" x14ac:dyDescent="0.25">
      <c r="B17" s="1">
        <v>43656</v>
      </c>
      <c r="C17" s="2" t="s">
        <v>6</v>
      </c>
      <c r="D17" s="2">
        <v>100</v>
      </c>
      <c r="E17" s="3">
        <v>20.32</v>
      </c>
      <c r="F17" s="3">
        <v>10</v>
      </c>
      <c r="G17" s="33">
        <f>TbAportes[[#This Row],[Valor unitário]]*TbAportes[[#This Row],[Qte]]+TbAportes[[#This Row],[Custo]]</f>
        <v>2042</v>
      </c>
      <c r="H17" s="4" t="str">
        <f>VLOOKUP(TbAportes[[#This Row],[Ativo]],TbAtivos!$C$3:$E$500,2,FALSE)</f>
        <v>EMPRESA</v>
      </c>
      <c r="I17" s="4">
        <f>YEAR(TbAportes[[#This Row],[Data]])</f>
        <v>2019</v>
      </c>
      <c r="J17" s="4">
        <f>MONTH(TbAportes[[#This Row],[Data]])</f>
        <v>7</v>
      </c>
      <c r="K17" s="4" t="str">
        <f>CONCATENATE(TbAportes[[#This Row],[Ano]],"/",IF(TbAportes[[#This Row],[Mês]]&lt;10,"0",""),TbAportes[[#This Row],[Mês]])</f>
        <v>2019/07</v>
      </c>
    </row>
    <row r="18" spans="2:11" ht="20.100000000000001" customHeight="1" x14ac:dyDescent="0.25">
      <c r="B18" s="1">
        <v>43656</v>
      </c>
      <c r="C18" s="2" t="s">
        <v>9</v>
      </c>
      <c r="D18" s="2">
        <v>1</v>
      </c>
      <c r="E18" s="3">
        <v>191.74</v>
      </c>
      <c r="F18" s="3">
        <v>0</v>
      </c>
      <c r="G18" s="33">
        <f>TbAportes[[#This Row],[Valor unitário]]*TbAportes[[#This Row],[Qte]]+TbAportes[[#This Row],[Custo]]</f>
        <v>191.74</v>
      </c>
      <c r="H18" s="4" t="str">
        <f>VLOOKUP(TbAportes[[#This Row],[Ativo]],TbAtivos!$C$3:$E$500,2,FALSE)</f>
        <v>FII</v>
      </c>
      <c r="I18" s="4">
        <f>YEAR(TbAportes[[#This Row],[Data]])</f>
        <v>2019</v>
      </c>
      <c r="J18" s="4">
        <f>MONTH(TbAportes[[#This Row],[Data]])</f>
        <v>7</v>
      </c>
      <c r="K18" s="4" t="str">
        <f>CONCATENATE(TbAportes[[#This Row],[Ano]],"/",IF(TbAportes[[#This Row],[Mês]]&lt;10,"0",""),TbAportes[[#This Row],[Mês]])</f>
        <v>2019/07</v>
      </c>
    </row>
    <row r="19" spans="2:11" ht="20.100000000000001" customHeight="1" x14ac:dyDescent="0.25">
      <c r="B19" s="1">
        <v>43687</v>
      </c>
      <c r="C19" s="2" t="s">
        <v>11</v>
      </c>
      <c r="D19" s="2">
        <v>7</v>
      </c>
      <c r="E19" s="3">
        <v>138.94</v>
      </c>
      <c r="F19" s="3">
        <v>0</v>
      </c>
      <c r="G19" s="33">
        <f>TbAportes[[#This Row],[Valor unitário]]*TbAportes[[#This Row],[Qte]]+TbAportes[[#This Row],[Custo]]</f>
        <v>972.57999999999993</v>
      </c>
      <c r="H19" s="4" t="str">
        <f>VLOOKUP(TbAportes[[#This Row],[Ativo]],TbAtivos!$C$3:$E$500,2,FALSE)</f>
        <v>FII</v>
      </c>
      <c r="I19" s="4">
        <f>YEAR(TbAportes[[#This Row],[Data]])</f>
        <v>2019</v>
      </c>
      <c r="J19" s="4">
        <f>MONTH(TbAportes[[#This Row],[Data]])</f>
        <v>8</v>
      </c>
      <c r="K19" s="4" t="str">
        <f>CONCATENATE(TbAportes[[#This Row],[Ano]],"/",IF(TbAportes[[#This Row],[Mês]]&lt;10,"0",""),TbAportes[[#This Row],[Mês]])</f>
        <v>2019/08</v>
      </c>
    </row>
    <row r="20" spans="2:11" ht="20.100000000000001" customHeight="1" x14ac:dyDescent="0.25">
      <c r="B20" s="1">
        <v>43687</v>
      </c>
      <c r="C20" s="2" t="s">
        <v>8</v>
      </c>
      <c r="D20" s="2">
        <v>100</v>
      </c>
      <c r="E20" s="3">
        <v>17.559999999999999</v>
      </c>
      <c r="F20" s="3">
        <v>10</v>
      </c>
      <c r="G20" s="33">
        <f>TbAportes[[#This Row],[Valor unitário]]*TbAportes[[#This Row],[Qte]]+TbAportes[[#This Row],[Custo]]</f>
        <v>1765.9999999999998</v>
      </c>
      <c r="H20" s="4" t="str">
        <f>VLOOKUP(TbAportes[[#This Row],[Ativo]],TbAtivos!$C$3:$E$500,2,FALSE)</f>
        <v>EMPRESA</v>
      </c>
      <c r="I20" s="4">
        <f>YEAR(TbAportes[[#This Row],[Data]])</f>
        <v>2019</v>
      </c>
      <c r="J20" s="4">
        <f>MONTH(TbAportes[[#This Row],[Data]])</f>
        <v>8</v>
      </c>
      <c r="K20" s="4" t="str">
        <f>CONCATENATE(TbAportes[[#This Row],[Ano]],"/",IF(TbAportes[[#This Row],[Mês]]&lt;10,"0",""),TbAportes[[#This Row],[Mês]])</f>
        <v>2019/08</v>
      </c>
    </row>
    <row r="21" spans="2:11" ht="20.100000000000001" customHeight="1" x14ac:dyDescent="0.25">
      <c r="B21" s="1">
        <v>43718</v>
      </c>
      <c r="C21" s="2" t="s">
        <v>4</v>
      </c>
      <c r="D21" s="2">
        <v>100</v>
      </c>
      <c r="E21" s="3">
        <v>10.119999999999999</v>
      </c>
      <c r="F21" s="3">
        <v>10</v>
      </c>
      <c r="G21" s="33">
        <f>TbAportes[[#This Row],[Valor unitário]]*TbAportes[[#This Row],[Qte]]+TbAportes[[#This Row],[Custo]]</f>
        <v>1021.9999999999999</v>
      </c>
      <c r="H21" s="4" t="str">
        <f>VLOOKUP(TbAportes[[#This Row],[Ativo]],TbAtivos!$C$3:$E$500,2,FALSE)</f>
        <v>EMPRESA</v>
      </c>
      <c r="I21" s="4">
        <f>YEAR(TbAportes[[#This Row],[Data]])</f>
        <v>2019</v>
      </c>
      <c r="J21" s="4">
        <f>MONTH(TbAportes[[#This Row],[Data]])</f>
        <v>9</v>
      </c>
      <c r="K21" s="4" t="str">
        <f>CONCATENATE(TbAportes[[#This Row],[Ano]],"/",IF(TbAportes[[#This Row],[Mês]]&lt;10,"0",""),TbAportes[[#This Row],[Mês]])</f>
        <v>2019/09</v>
      </c>
    </row>
    <row r="22" spans="2:11" ht="20.100000000000001" customHeight="1" x14ac:dyDescent="0.25">
      <c r="B22" s="1">
        <v>43718</v>
      </c>
      <c r="C22" s="2" t="s">
        <v>12</v>
      </c>
      <c r="D22" s="2">
        <v>2</v>
      </c>
      <c r="E22" s="3">
        <v>134.1</v>
      </c>
      <c r="F22" s="3">
        <v>0</v>
      </c>
      <c r="G22" s="33">
        <f>TbAportes[[#This Row],[Valor unitário]]*TbAportes[[#This Row],[Qte]]+TbAportes[[#This Row],[Custo]]</f>
        <v>268.2</v>
      </c>
      <c r="H22" s="4" t="str">
        <f>VLOOKUP(TbAportes[[#This Row],[Ativo]],TbAtivos!$C$3:$E$500,2,FALSE)</f>
        <v>FII</v>
      </c>
      <c r="I22" s="4">
        <f>YEAR(TbAportes[[#This Row],[Data]])</f>
        <v>2019</v>
      </c>
      <c r="J22" s="4">
        <f>MONTH(TbAportes[[#This Row],[Data]])</f>
        <v>9</v>
      </c>
      <c r="K22" s="4" t="str">
        <f>CONCATENATE(TbAportes[[#This Row],[Ano]],"/",IF(TbAportes[[#This Row],[Mês]]&lt;10,"0",""),TbAportes[[#This Row],[Mês]])</f>
        <v>2019/09</v>
      </c>
    </row>
    <row r="23" spans="2:11" ht="20.100000000000001" customHeight="1" x14ac:dyDescent="0.25">
      <c r="B23" s="1">
        <v>43748</v>
      </c>
      <c r="C23" s="2" t="s">
        <v>8</v>
      </c>
      <c r="D23" s="2">
        <v>100</v>
      </c>
      <c r="E23" s="3">
        <v>16.03</v>
      </c>
      <c r="F23" s="3">
        <v>10</v>
      </c>
      <c r="G23" s="33">
        <f>TbAportes[[#This Row],[Valor unitário]]*TbAportes[[#This Row],[Qte]]+TbAportes[[#This Row],[Custo]]</f>
        <v>1613</v>
      </c>
      <c r="H23" s="4" t="str">
        <f>VLOOKUP(TbAportes[[#This Row],[Ativo]],TbAtivos!$C$3:$E$500,2,FALSE)</f>
        <v>EMPRESA</v>
      </c>
      <c r="I23" s="4">
        <f>YEAR(TbAportes[[#This Row],[Data]])</f>
        <v>2019</v>
      </c>
      <c r="J23" s="4">
        <f>MONTH(TbAportes[[#This Row],[Data]])</f>
        <v>10</v>
      </c>
      <c r="K23" s="4" t="str">
        <f>CONCATENATE(TbAportes[[#This Row],[Ano]],"/",IF(TbAportes[[#This Row],[Mês]]&lt;10,"0",""),TbAportes[[#This Row],[Mês]])</f>
        <v>2019/10</v>
      </c>
    </row>
    <row r="24" spans="2:11" ht="20.100000000000001" customHeight="1" x14ac:dyDescent="0.25">
      <c r="B24" s="1">
        <v>43748</v>
      </c>
      <c r="C24" s="2" t="s">
        <v>9</v>
      </c>
      <c r="D24" s="2">
        <v>5</v>
      </c>
      <c r="E24" s="3">
        <v>194.23</v>
      </c>
      <c r="F24" s="3">
        <v>0</v>
      </c>
      <c r="G24" s="33">
        <f>TbAportes[[#This Row],[Valor unitário]]*TbAportes[[#This Row],[Qte]]+TbAportes[[#This Row],[Custo]]</f>
        <v>971.15</v>
      </c>
      <c r="H24" s="4" t="str">
        <f>VLOOKUP(TbAportes[[#This Row],[Ativo]],TbAtivos!$C$3:$E$500,2,FALSE)</f>
        <v>FII</v>
      </c>
      <c r="I24" s="4">
        <f>YEAR(TbAportes[[#This Row],[Data]])</f>
        <v>2019</v>
      </c>
      <c r="J24" s="4">
        <f>MONTH(TbAportes[[#This Row],[Data]])</f>
        <v>10</v>
      </c>
      <c r="K24" s="4" t="str">
        <f>CONCATENATE(TbAportes[[#This Row],[Ano]],"/",IF(TbAportes[[#This Row],[Mês]]&lt;10,"0",""),TbAportes[[#This Row],[Mês]])</f>
        <v>2019/10</v>
      </c>
    </row>
    <row r="25" spans="2:11" ht="20.100000000000001" customHeight="1" x14ac:dyDescent="0.25">
      <c r="B25" s="1">
        <v>43779</v>
      </c>
      <c r="C25" s="2" t="s">
        <v>7</v>
      </c>
      <c r="D25" s="2">
        <v>100</v>
      </c>
      <c r="E25" s="3">
        <v>9.5299999999999994</v>
      </c>
      <c r="F25" s="3">
        <v>10</v>
      </c>
      <c r="G25" s="33">
        <f>TbAportes[[#This Row],[Valor unitário]]*TbAportes[[#This Row],[Qte]]+TbAportes[[#This Row],[Custo]]</f>
        <v>962.99999999999989</v>
      </c>
      <c r="H25" s="4" t="str">
        <f>VLOOKUP(TbAportes[[#This Row],[Ativo]],TbAtivos!$C$3:$E$500,2,FALSE)</f>
        <v>EMPRESA</v>
      </c>
      <c r="I25" s="4">
        <f>YEAR(TbAportes[[#This Row],[Data]])</f>
        <v>2019</v>
      </c>
      <c r="J25" s="4">
        <f>MONTH(TbAportes[[#This Row],[Data]])</f>
        <v>11</v>
      </c>
      <c r="K25" s="4" t="str">
        <f>CONCATENATE(TbAportes[[#This Row],[Ano]],"/",IF(TbAportes[[#This Row],[Mês]]&lt;10,"0",""),TbAportes[[#This Row],[Mês]])</f>
        <v>2019/11</v>
      </c>
    </row>
    <row r="26" spans="2:11" ht="20.100000000000001" customHeight="1" x14ac:dyDescent="0.25">
      <c r="B26" s="1">
        <v>43779</v>
      </c>
      <c r="C26" s="2" t="s">
        <v>11</v>
      </c>
      <c r="D26" s="2">
        <v>3</v>
      </c>
      <c r="E26" s="3">
        <v>143.55000000000001</v>
      </c>
      <c r="F26" s="3">
        <v>0</v>
      </c>
      <c r="G26" s="33">
        <f>TbAportes[[#This Row],[Valor unitário]]*TbAportes[[#This Row],[Qte]]+TbAportes[[#This Row],[Custo]]</f>
        <v>430.65000000000003</v>
      </c>
      <c r="H26" s="4" t="str">
        <f>VLOOKUP(TbAportes[[#This Row],[Ativo]],TbAtivos!$C$3:$E$500,2,FALSE)</f>
        <v>FII</v>
      </c>
      <c r="I26" s="4">
        <f>YEAR(TbAportes[[#This Row],[Data]])</f>
        <v>2019</v>
      </c>
      <c r="J26" s="4">
        <f>MONTH(TbAportes[[#This Row],[Data]])</f>
        <v>11</v>
      </c>
      <c r="K26" s="4" t="str">
        <f>CONCATENATE(TbAportes[[#This Row],[Ano]],"/",IF(TbAportes[[#This Row],[Mês]]&lt;10,"0",""),TbAportes[[#This Row],[Mês]])</f>
        <v>2019/11</v>
      </c>
    </row>
    <row r="27" spans="2:11" ht="20.100000000000001" customHeight="1" x14ac:dyDescent="0.25">
      <c r="B27" s="1">
        <v>43809</v>
      </c>
      <c r="C27" s="2" t="s">
        <v>13</v>
      </c>
      <c r="D27" s="2">
        <v>5</v>
      </c>
      <c r="E27" s="3">
        <v>143.22999999999999</v>
      </c>
      <c r="F27" s="3">
        <v>0</v>
      </c>
      <c r="G27" s="33">
        <f>TbAportes[[#This Row],[Valor unitário]]*TbAportes[[#This Row],[Qte]]+TbAportes[[#This Row],[Custo]]</f>
        <v>716.15</v>
      </c>
      <c r="H27" s="4" t="str">
        <f>VLOOKUP(TbAportes[[#This Row],[Ativo]],TbAtivos!$C$3:$E$500,2,FALSE)</f>
        <v>FII</v>
      </c>
      <c r="I27" s="4">
        <f>YEAR(TbAportes[[#This Row],[Data]])</f>
        <v>2019</v>
      </c>
      <c r="J27" s="4">
        <f>MONTH(TbAportes[[#This Row],[Data]])</f>
        <v>12</v>
      </c>
      <c r="K27" s="4" t="str">
        <f>CONCATENATE(TbAportes[[#This Row],[Ano]],"/",IF(TbAportes[[#This Row],[Mês]]&lt;10,"0",""),TbAportes[[#This Row],[Mês]])</f>
        <v>2019/12</v>
      </c>
    </row>
    <row r="28" spans="2:11" ht="20.100000000000001" customHeight="1" x14ac:dyDescent="0.25">
      <c r="B28" s="1">
        <v>43809</v>
      </c>
      <c r="C28" s="2" t="s">
        <v>15</v>
      </c>
      <c r="D28" s="2">
        <v>100</v>
      </c>
      <c r="E28" s="3">
        <v>8.59</v>
      </c>
      <c r="F28" s="3">
        <v>10</v>
      </c>
      <c r="G28" s="33">
        <f>TbAportes[[#This Row],[Valor unitário]]*TbAportes[[#This Row],[Qte]]+TbAportes[[#This Row],[Custo]]</f>
        <v>869</v>
      </c>
      <c r="H28" s="4" t="str">
        <f>VLOOKUP(TbAportes[[#This Row],[Ativo]],TbAtivos!$C$3:$E$500,2,FALSE)</f>
        <v>EMPRESA</v>
      </c>
      <c r="I28" s="4">
        <f>YEAR(TbAportes[[#This Row],[Data]])</f>
        <v>2019</v>
      </c>
      <c r="J28" s="4">
        <f>MONTH(TbAportes[[#This Row],[Data]])</f>
        <v>12</v>
      </c>
      <c r="K28" s="4" t="str">
        <f>CONCATENATE(TbAportes[[#This Row],[Ano]],"/",IF(TbAportes[[#This Row],[Mês]]&lt;10,"0",""),TbAportes[[#This Row],[Mês]])</f>
        <v>2019/12</v>
      </c>
    </row>
    <row r="29" spans="2:11" ht="20.100000000000001" customHeight="1" x14ac:dyDescent="0.25">
      <c r="B29" s="1">
        <v>43840</v>
      </c>
      <c r="C29" s="2" t="s">
        <v>13</v>
      </c>
      <c r="D29" s="2">
        <v>10</v>
      </c>
      <c r="E29" s="3">
        <v>152.6</v>
      </c>
      <c r="F29" s="3">
        <v>0</v>
      </c>
      <c r="G29" s="33">
        <f>TbAportes[[#This Row],[Valor unitário]]*TbAportes[[#This Row],[Qte]]+TbAportes[[#This Row],[Custo]]</f>
        <v>1526</v>
      </c>
      <c r="H29" s="4" t="str">
        <f>VLOOKUP(TbAportes[[#This Row],[Ativo]],TbAtivos!$C$3:$E$500,2,FALSE)</f>
        <v>FII</v>
      </c>
      <c r="I29" s="4">
        <f>YEAR(TbAportes[[#This Row],[Data]])</f>
        <v>2020</v>
      </c>
      <c r="J29" s="4">
        <f>MONTH(TbAportes[[#This Row],[Data]])</f>
        <v>1</v>
      </c>
      <c r="K29" s="4" t="str">
        <f>CONCATENATE(TbAportes[[#This Row],[Ano]],"/",IF(TbAportes[[#This Row],[Mês]]&lt;10,"0",""),TbAportes[[#This Row],[Mês]])</f>
        <v>2020/01</v>
      </c>
    </row>
    <row r="30" spans="2:11" ht="20.100000000000001" customHeight="1" x14ac:dyDescent="0.25">
      <c r="B30" s="1">
        <v>43840</v>
      </c>
      <c r="C30" s="2" t="s">
        <v>12</v>
      </c>
      <c r="D30" s="2">
        <v>4</v>
      </c>
      <c r="E30" s="3">
        <v>138.44999999999999</v>
      </c>
      <c r="F30" s="3">
        <v>0</v>
      </c>
      <c r="G30" s="33">
        <f>TbAportes[[#This Row],[Valor unitário]]*TbAportes[[#This Row],[Qte]]+TbAportes[[#This Row],[Custo]]</f>
        <v>553.79999999999995</v>
      </c>
      <c r="H30" s="4" t="str">
        <f>VLOOKUP(TbAportes[[#This Row],[Ativo]],TbAtivos!$C$3:$E$500,2,FALSE)</f>
        <v>FII</v>
      </c>
      <c r="I30" s="4">
        <f>YEAR(TbAportes[[#This Row],[Data]])</f>
        <v>2020</v>
      </c>
      <c r="J30" s="4">
        <f>MONTH(TbAportes[[#This Row],[Data]])</f>
        <v>1</v>
      </c>
      <c r="K30" s="4" t="str">
        <f>CONCATENATE(TbAportes[[#This Row],[Ano]],"/",IF(TbAportes[[#This Row],[Mês]]&lt;10,"0",""),TbAportes[[#This Row],[Mês]])</f>
        <v>2020/01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73"/>
  <sheetViews>
    <sheetView showGridLines="0" zoomScaleNormal="100" workbookViewId="0">
      <selection activeCell="M16" sqref="M16"/>
    </sheetView>
  </sheetViews>
  <sheetFormatPr defaultRowHeight="20.100000000000001" customHeight="1" x14ac:dyDescent="0.25"/>
  <cols>
    <col min="1" max="1" width="2.7109375" style="2" customWidth="1"/>
    <col min="2" max="2" width="8" style="2" customWidth="1"/>
    <col min="3" max="4" width="9.140625" style="2"/>
    <col min="5" max="5" width="16.28515625" style="3" customWidth="1"/>
    <col min="6" max="6" width="14.28515625" style="3" customWidth="1"/>
    <col min="7" max="7" width="16.42578125" style="3" customWidth="1"/>
    <col min="8" max="8" width="15.140625" style="1" customWidth="1"/>
    <col min="9" max="9" width="13.85546875" style="2" customWidth="1"/>
    <col min="10" max="16384" width="9.140625" style="2"/>
  </cols>
  <sheetData>
    <row r="2" spans="2:10" ht="20.100000000000001" customHeight="1" x14ac:dyDescent="0.25">
      <c r="B2" s="2" t="s">
        <v>26</v>
      </c>
      <c r="C2" s="2" t="s">
        <v>17</v>
      </c>
      <c r="D2" s="2" t="s">
        <v>18</v>
      </c>
      <c r="E2" s="3" t="s">
        <v>27</v>
      </c>
      <c r="F2" s="3" t="s">
        <v>28</v>
      </c>
      <c r="G2" s="3" t="s">
        <v>29</v>
      </c>
      <c r="H2" s="1" t="s">
        <v>16</v>
      </c>
      <c r="I2" s="3" t="s">
        <v>25</v>
      </c>
      <c r="J2" s="3" t="s">
        <v>22</v>
      </c>
    </row>
    <row r="3" spans="2:10" ht="20.100000000000001" customHeight="1" x14ac:dyDescent="0.25">
      <c r="B3" s="2">
        <v>13</v>
      </c>
      <c r="C3" s="2" t="s">
        <v>7</v>
      </c>
      <c r="D3" s="2">
        <v>100</v>
      </c>
      <c r="E3" s="3">
        <v>39.479999999999997</v>
      </c>
      <c r="F3" s="3">
        <v>0</v>
      </c>
      <c r="G3" s="3">
        <v>39.479999999999997</v>
      </c>
      <c r="H3" s="1">
        <v>43449</v>
      </c>
      <c r="I3" s="4" t="str">
        <f>CONCATENATE(YEAR(TbProventos[[#This Row],[Data]]),"/",IF(MONTH(TbProventos[[#This Row],[Data]])&lt;10,"0",""),MONTH(TbProventos[[#This Row],[Data]]))</f>
        <v>2018/12</v>
      </c>
      <c r="J3" s="4" t="str">
        <f>VLOOKUP(TbProventos[[#This Row],[Ativo]],TbAtivos!$C$3:$E$500,2,FALSE)</f>
        <v>EMPRESA</v>
      </c>
    </row>
    <row r="4" spans="2:10" ht="20.100000000000001" customHeight="1" x14ac:dyDescent="0.25">
      <c r="B4" s="2">
        <v>14</v>
      </c>
      <c r="C4" s="2" t="s">
        <v>9</v>
      </c>
      <c r="D4" s="2">
        <v>100</v>
      </c>
      <c r="E4" s="3">
        <v>63</v>
      </c>
      <c r="F4" s="3">
        <v>0</v>
      </c>
      <c r="G4" s="3">
        <v>63</v>
      </c>
      <c r="H4" s="1">
        <v>43451</v>
      </c>
      <c r="I4" s="4" t="str">
        <f>CONCATENATE(YEAR(TbProventos[[#This Row],[Data]]),"/",IF(MONTH(TbProventos[[#This Row],[Data]])&lt;10,"0",""),MONTH(TbProventos[[#This Row],[Data]]))</f>
        <v>2018/12</v>
      </c>
      <c r="J4" s="4" t="str">
        <f>VLOOKUP(TbProventos[[#This Row],[Ativo]],TbAtivos!$C$3:$E$500,2,FALSE)</f>
        <v>FII</v>
      </c>
    </row>
    <row r="5" spans="2:10" ht="20.100000000000001" customHeight="1" x14ac:dyDescent="0.25">
      <c r="B5" s="2">
        <v>14</v>
      </c>
      <c r="C5" s="2" t="s">
        <v>11</v>
      </c>
      <c r="D5" s="2">
        <v>100</v>
      </c>
      <c r="E5" s="3">
        <v>81</v>
      </c>
      <c r="F5" s="3">
        <v>0</v>
      </c>
      <c r="G5" s="3">
        <v>81</v>
      </c>
      <c r="H5" s="1">
        <v>43451</v>
      </c>
      <c r="I5" s="4" t="str">
        <f>CONCATENATE(YEAR(TbProventos[[#This Row],[Data]]),"/",IF(MONTH(TbProventos[[#This Row],[Data]])&lt;10,"0",""),MONTH(TbProventos[[#This Row],[Data]]))</f>
        <v>2018/12</v>
      </c>
      <c r="J5" s="4" t="str">
        <f>VLOOKUP(TbProventos[[#This Row],[Ativo]],TbAtivos!$C$3:$E$500,2,FALSE)</f>
        <v>FII</v>
      </c>
    </row>
    <row r="6" spans="2:10" ht="20.100000000000001" customHeight="1" x14ac:dyDescent="0.25">
      <c r="B6" s="2">
        <v>14</v>
      </c>
      <c r="C6" s="2" t="s">
        <v>12</v>
      </c>
      <c r="D6" s="2">
        <v>100</v>
      </c>
      <c r="E6" s="3">
        <v>38.89</v>
      </c>
      <c r="F6" s="3">
        <v>0</v>
      </c>
      <c r="G6" s="3">
        <v>38.89</v>
      </c>
      <c r="H6" s="1">
        <v>43451</v>
      </c>
      <c r="I6" s="4" t="str">
        <f>CONCATENATE(YEAR(TbProventos[[#This Row],[Data]]),"/",IF(MONTH(TbProventos[[#This Row],[Data]])&lt;10,"0",""),MONTH(TbProventos[[#This Row],[Data]]))</f>
        <v>2018/12</v>
      </c>
      <c r="J6" s="4" t="str">
        <f>VLOOKUP(TbProventos[[#This Row],[Ativo]],TbAtivos!$C$3:$E$500,2,FALSE)</f>
        <v>FII</v>
      </c>
    </row>
    <row r="7" spans="2:10" ht="20.100000000000001" customHeight="1" x14ac:dyDescent="0.25">
      <c r="B7" s="2">
        <v>14</v>
      </c>
      <c r="C7" s="2" t="s">
        <v>13</v>
      </c>
      <c r="D7" s="2">
        <v>100</v>
      </c>
      <c r="E7" s="3">
        <v>34.770000000000003</v>
      </c>
      <c r="F7" s="3">
        <v>0</v>
      </c>
      <c r="G7" s="3">
        <v>34.770000000000003</v>
      </c>
      <c r="H7" s="1">
        <v>43451</v>
      </c>
      <c r="I7" s="4" t="str">
        <f>CONCATENATE(YEAR(TbProventos[[#This Row],[Data]]),"/",IF(MONTH(TbProventos[[#This Row],[Data]])&lt;10,"0",""),MONTH(TbProventos[[#This Row],[Data]]))</f>
        <v>2018/12</v>
      </c>
      <c r="J7" s="4" t="str">
        <f>VLOOKUP(TbProventos[[#This Row],[Ativo]],TbAtivos!$C$3:$E$500,2,FALSE)</f>
        <v>FII</v>
      </c>
    </row>
    <row r="8" spans="2:10" ht="20.100000000000001" customHeight="1" x14ac:dyDescent="0.25">
      <c r="B8" s="2">
        <v>13</v>
      </c>
      <c r="C8" s="2" t="s">
        <v>8</v>
      </c>
      <c r="D8" s="2">
        <v>100</v>
      </c>
      <c r="E8" s="3">
        <v>67</v>
      </c>
      <c r="F8" s="3">
        <v>6</v>
      </c>
      <c r="G8" s="3">
        <v>61</v>
      </c>
      <c r="H8" s="1">
        <v>43480</v>
      </c>
      <c r="I8" s="4" t="str">
        <f>CONCATENATE(YEAR(TbProventos[[#This Row],[Data]]),"/",IF(MONTH(TbProventos[[#This Row],[Data]])&lt;10,"0",""),MONTH(TbProventos[[#This Row],[Data]]))</f>
        <v>2019/01</v>
      </c>
      <c r="J8" s="4" t="str">
        <f>VLOOKUP(TbProventos[[#This Row],[Ativo]],TbAtivos!$C$3:$E$500,2,FALSE)</f>
        <v>EMPRESA</v>
      </c>
    </row>
    <row r="9" spans="2:10" ht="20.100000000000001" customHeight="1" x14ac:dyDescent="0.25">
      <c r="B9" s="2">
        <v>14</v>
      </c>
      <c r="C9" s="2" t="s">
        <v>9</v>
      </c>
      <c r="D9" s="2">
        <v>100</v>
      </c>
      <c r="E9" s="3">
        <v>75.709999999999994</v>
      </c>
      <c r="F9" s="3">
        <v>0</v>
      </c>
      <c r="G9" s="3">
        <v>75.709999999999994</v>
      </c>
      <c r="H9" s="1">
        <v>43482</v>
      </c>
      <c r="I9" s="4" t="str">
        <f>CONCATENATE(YEAR(TbProventos[[#This Row],[Data]]),"/",IF(MONTH(TbProventos[[#This Row],[Data]])&lt;10,"0",""),MONTH(TbProventos[[#This Row],[Data]]))</f>
        <v>2019/01</v>
      </c>
      <c r="J9" s="4" t="str">
        <f>VLOOKUP(TbProventos[[#This Row],[Ativo]],TbAtivos!$C$3:$E$500,2,FALSE)</f>
        <v>FII</v>
      </c>
    </row>
    <row r="10" spans="2:10" ht="20.100000000000001" customHeight="1" x14ac:dyDescent="0.25">
      <c r="B10" s="2">
        <v>14</v>
      </c>
      <c r="C10" s="2" t="s">
        <v>11</v>
      </c>
      <c r="D10" s="2">
        <v>100</v>
      </c>
      <c r="E10" s="3">
        <v>39.36</v>
      </c>
      <c r="F10" s="3">
        <v>0</v>
      </c>
      <c r="G10" s="3">
        <v>39.36</v>
      </c>
      <c r="H10" s="1">
        <v>43482</v>
      </c>
      <c r="I10" s="4" t="str">
        <f>CONCATENATE(YEAR(TbProventos[[#This Row],[Data]]),"/",IF(MONTH(TbProventos[[#This Row],[Data]])&lt;10,"0",""),MONTH(TbProventos[[#This Row],[Data]]))</f>
        <v>2019/01</v>
      </c>
      <c r="J10" s="4" t="str">
        <f>VLOOKUP(TbProventos[[#This Row],[Ativo]],TbAtivos!$C$3:$E$500,2,FALSE)</f>
        <v>FII</v>
      </c>
    </row>
    <row r="11" spans="2:10" ht="20.100000000000001" customHeight="1" x14ac:dyDescent="0.25">
      <c r="B11" s="2">
        <v>14</v>
      </c>
      <c r="C11" s="2" t="s">
        <v>12</v>
      </c>
      <c r="D11" s="2">
        <v>100</v>
      </c>
      <c r="E11" s="3">
        <v>51.8</v>
      </c>
      <c r="F11" s="3">
        <v>0</v>
      </c>
      <c r="G11" s="3">
        <v>51.8</v>
      </c>
      <c r="H11" s="1">
        <v>43482</v>
      </c>
      <c r="I11" s="4" t="str">
        <f>CONCATENATE(YEAR(TbProventos[[#This Row],[Data]]),"/",IF(MONTH(TbProventos[[#This Row],[Data]])&lt;10,"0",""),MONTH(TbProventos[[#This Row],[Data]]))</f>
        <v>2019/01</v>
      </c>
      <c r="J11" s="4" t="str">
        <f>VLOOKUP(TbProventos[[#This Row],[Ativo]],TbAtivos!$C$3:$E$500,2,FALSE)</f>
        <v>FII</v>
      </c>
    </row>
    <row r="12" spans="2:10" ht="20.100000000000001" customHeight="1" x14ac:dyDescent="0.25">
      <c r="B12" s="2">
        <v>14</v>
      </c>
      <c r="C12" s="2" t="s">
        <v>13</v>
      </c>
      <c r="D12" s="2">
        <v>100</v>
      </c>
      <c r="E12" s="3">
        <v>61.75</v>
      </c>
      <c r="F12" s="3">
        <v>0</v>
      </c>
      <c r="G12" s="3">
        <v>61.75</v>
      </c>
      <c r="H12" s="1">
        <v>43482</v>
      </c>
      <c r="I12" s="4" t="str">
        <f>CONCATENATE(YEAR(TbProventos[[#This Row],[Data]]),"/",IF(MONTH(TbProventos[[#This Row],[Data]])&lt;10,"0",""),MONTH(TbProventos[[#This Row],[Data]]))</f>
        <v>2019/01</v>
      </c>
      <c r="J12" s="4" t="str">
        <f>VLOOKUP(TbProventos[[#This Row],[Ativo]],TbAtivos!$C$3:$E$500,2,FALSE)</f>
        <v>FII</v>
      </c>
    </row>
    <row r="13" spans="2:10" ht="20.100000000000001" customHeight="1" x14ac:dyDescent="0.25">
      <c r="B13" s="2">
        <v>13</v>
      </c>
      <c r="C13" s="2" t="s">
        <v>7</v>
      </c>
      <c r="D13" s="2">
        <v>100</v>
      </c>
      <c r="E13" s="3">
        <v>65.430000000000007</v>
      </c>
      <c r="F13" s="3">
        <v>0</v>
      </c>
      <c r="G13" s="3">
        <v>65.430000000000007</v>
      </c>
      <c r="H13" s="1">
        <v>43511</v>
      </c>
      <c r="I13" s="4" t="str">
        <f>CONCATENATE(YEAR(TbProventos[[#This Row],[Data]]),"/",IF(MONTH(TbProventos[[#This Row],[Data]])&lt;10,"0",""),MONTH(TbProventos[[#This Row],[Data]]))</f>
        <v>2019/02</v>
      </c>
      <c r="J13" s="4" t="str">
        <f>VLOOKUP(TbProventos[[#This Row],[Ativo]],TbAtivos!$C$3:$E$500,2,FALSE)</f>
        <v>EMPRESA</v>
      </c>
    </row>
    <row r="14" spans="2:10" ht="20.100000000000001" customHeight="1" x14ac:dyDescent="0.25">
      <c r="B14" s="2">
        <v>50</v>
      </c>
      <c r="C14" s="2" t="s">
        <v>30</v>
      </c>
      <c r="D14" s="2">
        <v>100</v>
      </c>
      <c r="E14" s="3">
        <v>0</v>
      </c>
      <c r="F14" s="3">
        <v>0</v>
      </c>
      <c r="G14" s="3">
        <v>0</v>
      </c>
      <c r="H14" s="1">
        <v>43511</v>
      </c>
      <c r="I14" s="4" t="str">
        <f>CONCATENATE(YEAR(TbProventos[[#This Row],[Data]]),"/",IF(MONTH(TbProventos[[#This Row],[Data]])&lt;10,"0",""),MONTH(TbProventos[[#This Row],[Data]]))</f>
        <v>2019/02</v>
      </c>
      <c r="J14" s="4" t="e">
        <f>VLOOKUP(TbProventos[[#This Row],[Ativo]],TbAtivos!$C$3:$E$500,2,FALSE)</f>
        <v>#N/A</v>
      </c>
    </row>
    <row r="15" spans="2:10" ht="20.100000000000001" customHeight="1" x14ac:dyDescent="0.25">
      <c r="B15" s="2">
        <v>14</v>
      </c>
      <c r="C15" s="2" t="s">
        <v>9</v>
      </c>
      <c r="D15" s="2">
        <v>100</v>
      </c>
      <c r="E15" s="3">
        <v>61</v>
      </c>
      <c r="F15" s="3">
        <v>0</v>
      </c>
      <c r="G15" s="3">
        <v>61</v>
      </c>
      <c r="H15" s="1">
        <v>43513</v>
      </c>
      <c r="I15" s="4" t="str">
        <f>CONCATENATE(YEAR(TbProventos[[#This Row],[Data]]),"/",IF(MONTH(TbProventos[[#This Row],[Data]])&lt;10,"0",""),MONTH(TbProventos[[#This Row],[Data]]))</f>
        <v>2019/02</v>
      </c>
      <c r="J15" s="4" t="str">
        <f>VLOOKUP(TbProventos[[#This Row],[Ativo]],TbAtivos!$C$3:$E$500,2,FALSE)</f>
        <v>FII</v>
      </c>
    </row>
    <row r="16" spans="2:10" ht="20.100000000000001" customHeight="1" x14ac:dyDescent="0.25">
      <c r="B16" s="2">
        <v>14</v>
      </c>
      <c r="C16" s="2" t="s">
        <v>11</v>
      </c>
      <c r="D16" s="2">
        <v>100</v>
      </c>
      <c r="E16" s="3">
        <v>99</v>
      </c>
      <c r="F16" s="3">
        <v>0</v>
      </c>
      <c r="G16" s="3">
        <v>99</v>
      </c>
      <c r="H16" s="1">
        <v>43513</v>
      </c>
      <c r="I16" s="4" t="str">
        <f>CONCATENATE(YEAR(TbProventos[[#This Row],[Data]]),"/",IF(MONTH(TbProventos[[#This Row],[Data]])&lt;10,"0",""),MONTH(TbProventos[[#This Row],[Data]]))</f>
        <v>2019/02</v>
      </c>
      <c r="J16" s="4" t="str">
        <f>VLOOKUP(TbProventos[[#This Row],[Ativo]],TbAtivos!$C$3:$E$500,2,FALSE)</f>
        <v>FII</v>
      </c>
    </row>
    <row r="17" spans="2:10" ht="20.100000000000001" customHeight="1" x14ac:dyDescent="0.25">
      <c r="B17" s="2">
        <v>14</v>
      </c>
      <c r="C17" s="2" t="s">
        <v>12</v>
      </c>
      <c r="D17" s="2">
        <v>100</v>
      </c>
      <c r="E17" s="3">
        <v>99.9</v>
      </c>
      <c r="F17" s="3">
        <v>0</v>
      </c>
      <c r="G17" s="3">
        <v>99.9</v>
      </c>
      <c r="H17" s="1">
        <v>43513</v>
      </c>
      <c r="I17" s="4" t="str">
        <f>CONCATENATE(YEAR(TbProventos[[#This Row],[Data]]),"/",IF(MONTH(TbProventos[[#This Row],[Data]])&lt;10,"0",""),MONTH(TbProventos[[#This Row],[Data]]))</f>
        <v>2019/02</v>
      </c>
      <c r="J17" s="4" t="str">
        <f>VLOOKUP(TbProventos[[#This Row],[Ativo]],TbAtivos!$C$3:$E$500,2,FALSE)</f>
        <v>FII</v>
      </c>
    </row>
    <row r="18" spans="2:10" ht="20.100000000000001" customHeight="1" x14ac:dyDescent="0.25">
      <c r="B18" s="2">
        <v>14</v>
      </c>
      <c r="C18" s="2" t="s">
        <v>13</v>
      </c>
      <c r="D18" s="2">
        <v>100</v>
      </c>
      <c r="E18" s="3">
        <v>98.42</v>
      </c>
      <c r="F18" s="3">
        <v>0</v>
      </c>
      <c r="G18" s="3">
        <v>98.42</v>
      </c>
      <c r="H18" s="1">
        <v>43513</v>
      </c>
      <c r="I18" s="4" t="str">
        <f>CONCATENATE(YEAR(TbProventos[[#This Row],[Data]]),"/",IF(MONTH(TbProventos[[#This Row],[Data]])&lt;10,"0",""),MONTH(TbProventos[[#This Row],[Data]]))</f>
        <v>2019/02</v>
      </c>
      <c r="J18" s="4" t="str">
        <f>VLOOKUP(TbProventos[[#This Row],[Ativo]],TbAtivos!$C$3:$E$500,2,FALSE)</f>
        <v>FII</v>
      </c>
    </row>
    <row r="19" spans="2:10" ht="20.100000000000001" customHeight="1" x14ac:dyDescent="0.25">
      <c r="B19" s="2">
        <v>13</v>
      </c>
      <c r="C19" s="2" t="s">
        <v>6</v>
      </c>
      <c r="D19" s="2">
        <v>100</v>
      </c>
      <c r="E19" s="3">
        <v>166</v>
      </c>
      <c r="F19" s="3">
        <v>2.34</v>
      </c>
      <c r="G19" s="3">
        <v>163.66</v>
      </c>
      <c r="H19" s="1">
        <v>43539</v>
      </c>
      <c r="I19" s="4" t="str">
        <f>CONCATENATE(YEAR(TbProventos[[#This Row],[Data]]),"/",IF(MONTH(TbProventos[[#This Row],[Data]])&lt;10,"0",""),MONTH(TbProventos[[#This Row],[Data]]))</f>
        <v>2019/03</v>
      </c>
      <c r="J19" s="4" t="str">
        <f>VLOOKUP(TbProventos[[#This Row],[Ativo]],TbAtivos!$C$3:$E$500,2,FALSE)</f>
        <v>EMPRESA</v>
      </c>
    </row>
    <row r="20" spans="2:10" ht="20.100000000000001" customHeight="1" x14ac:dyDescent="0.25">
      <c r="B20" s="2">
        <v>14</v>
      </c>
      <c r="C20" s="2" t="s">
        <v>9</v>
      </c>
      <c r="D20" s="2">
        <v>100</v>
      </c>
      <c r="E20" s="3">
        <v>37.44</v>
      </c>
      <c r="F20" s="3">
        <v>0</v>
      </c>
      <c r="G20" s="3">
        <v>37.44</v>
      </c>
      <c r="H20" s="1">
        <v>43541</v>
      </c>
      <c r="I20" s="4" t="str">
        <f>CONCATENATE(YEAR(TbProventos[[#This Row],[Data]]),"/",IF(MONTH(TbProventos[[#This Row],[Data]])&lt;10,"0",""),MONTH(TbProventos[[#This Row],[Data]]))</f>
        <v>2019/03</v>
      </c>
      <c r="J20" s="4" t="str">
        <f>VLOOKUP(TbProventos[[#This Row],[Ativo]],TbAtivos!$C$3:$E$500,2,FALSE)</f>
        <v>FII</v>
      </c>
    </row>
    <row r="21" spans="2:10" ht="20.100000000000001" customHeight="1" x14ac:dyDescent="0.25">
      <c r="B21" s="2">
        <v>14</v>
      </c>
      <c r="C21" s="2" t="s">
        <v>11</v>
      </c>
      <c r="D21" s="2">
        <v>100</v>
      </c>
      <c r="E21" s="3">
        <v>52.02</v>
      </c>
      <c r="F21" s="3">
        <v>0</v>
      </c>
      <c r="G21" s="3">
        <v>52.02</v>
      </c>
      <c r="H21" s="1">
        <v>43541</v>
      </c>
      <c r="I21" s="4" t="str">
        <f>CONCATENATE(YEAR(TbProventos[[#This Row],[Data]]),"/",IF(MONTH(TbProventos[[#This Row],[Data]])&lt;10,"0",""),MONTH(TbProventos[[#This Row],[Data]]))</f>
        <v>2019/03</v>
      </c>
      <c r="J21" s="4" t="str">
        <f>VLOOKUP(TbProventos[[#This Row],[Ativo]],TbAtivos!$C$3:$E$500,2,FALSE)</f>
        <v>FII</v>
      </c>
    </row>
    <row r="22" spans="2:10" ht="20.100000000000001" customHeight="1" x14ac:dyDescent="0.25">
      <c r="B22" s="2">
        <v>14</v>
      </c>
      <c r="C22" s="2" t="s">
        <v>12</v>
      </c>
      <c r="D22" s="2">
        <v>100</v>
      </c>
      <c r="E22" s="3">
        <v>42.14</v>
      </c>
      <c r="F22" s="3">
        <v>0</v>
      </c>
      <c r="G22" s="3">
        <v>42.14</v>
      </c>
      <c r="H22" s="1">
        <v>43541</v>
      </c>
      <c r="I22" s="4" t="str">
        <f>CONCATENATE(YEAR(TbProventos[[#This Row],[Data]]),"/",IF(MONTH(TbProventos[[#This Row],[Data]])&lt;10,"0",""),MONTH(TbProventos[[#This Row],[Data]]))</f>
        <v>2019/03</v>
      </c>
      <c r="J22" s="4" t="str">
        <f>VLOOKUP(TbProventos[[#This Row],[Ativo]],TbAtivos!$C$3:$E$500,2,FALSE)</f>
        <v>FII</v>
      </c>
    </row>
    <row r="23" spans="2:10" ht="20.100000000000001" customHeight="1" x14ac:dyDescent="0.25">
      <c r="B23" s="2">
        <v>14</v>
      </c>
      <c r="C23" s="2" t="s">
        <v>13</v>
      </c>
      <c r="D23" s="2">
        <v>100</v>
      </c>
      <c r="E23" s="3">
        <v>177.12</v>
      </c>
      <c r="F23" s="3">
        <v>0</v>
      </c>
      <c r="G23" s="3">
        <v>177.12</v>
      </c>
      <c r="H23" s="1">
        <v>43541</v>
      </c>
      <c r="I23" s="4" t="str">
        <f>CONCATENATE(YEAR(TbProventos[[#This Row],[Data]]),"/",IF(MONTH(TbProventos[[#This Row],[Data]])&lt;10,"0",""),MONTH(TbProventos[[#This Row],[Data]]))</f>
        <v>2019/03</v>
      </c>
      <c r="J23" s="4" t="str">
        <f>VLOOKUP(TbProventos[[#This Row],[Ativo]],TbAtivos!$C$3:$E$500,2,FALSE)</f>
        <v>FII</v>
      </c>
    </row>
    <row r="24" spans="2:10" ht="20.100000000000001" customHeight="1" x14ac:dyDescent="0.25">
      <c r="B24" s="2">
        <v>13</v>
      </c>
      <c r="C24" s="2" t="s">
        <v>7</v>
      </c>
      <c r="D24" s="2">
        <v>100</v>
      </c>
      <c r="E24" s="3">
        <v>162.75</v>
      </c>
      <c r="F24" s="3">
        <v>0</v>
      </c>
      <c r="G24" s="3">
        <v>162.75</v>
      </c>
      <c r="H24" s="1">
        <v>43570</v>
      </c>
      <c r="I24" s="4" t="str">
        <f>CONCATENATE(YEAR(TbProventos[[#This Row],[Data]]),"/",IF(MONTH(TbProventos[[#This Row],[Data]])&lt;10,"0",""),MONTH(TbProventos[[#This Row],[Data]]))</f>
        <v>2019/04</v>
      </c>
      <c r="J24" s="4" t="str">
        <f>VLOOKUP(TbProventos[[#This Row],[Ativo]],TbAtivos!$C$3:$E$500,2,FALSE)</f>
        <v>EMPRESA</v>
      </c>
    </row>
    <row r="25" spans="2:10" ht="20.100000000000001" customHeight="1" x14ac:dyDescent="0.25">
      <c r="B25" s="2">
        <v>14</v>
      </c>
      <c r="C25" s="2" t="s">
        <v>9</v>
      </c>
      <c r="D25" s="2">
        <v>100</v>
      </c>
      <c r="E25" s="3">
        <v>61</v>
      </c>
      <c r="F25" s="3">
        <v>0</v>
      </c>
      <c r="G25" s="3">
        <v>61</v>
      </c>
      <c r="H25" s="1">
        <v>43572</v>
      </c>
      <c r="I25" s="4" t="str">
        <f>CONCATENATE(YEAR(TbProventos[[#This Row],[Data]]),"/",IF(MONTH(TbProventos[[#This Row],[Data]])&lt;10,"0",""),MONTH(TbProventos[[#This Row],[Data]]))</f>
        <v>2019/04</v>
      </c>
      <c r="J25" s="4" t="str">
        <f>VLOOKUP(TbProventos[[#This Row],[Ativo]],TbAtivos!$C$3:$E$500,2,FALSE)</f>
        <v>FII</v>
      </c>
    </row>
    <row r="26" spans="2:10" ht="20.100000000000001" customHeight="1" x14ac:dyDescent="0.25">
      <c r="B26" s="2">
        <v>14</v>
      </c>
      <c r="C26" s="2" t="s">
        <v>11</v>
      </c>
      <c r="D26" s="2">
        <v>100</v>
      </c>
      <c r="E26" s="3">
        <v>180.6</v>
      </c>
      <c r="F26" s="3">
        <v>0</v>
      </c>
      <c r="G26" s="3">
        <v>180.6</v>
      </c>
      <c r="H26" s="1">
        <v>43572</v>
      </c>
      <c r="I26" s="4" t="str">
        <f>CONCATENATE(YEAR(TbProventos[[#This Row],[Data]]),"/",IF(MONTH(TbProventos[[#This Row],[Data]])&lt;10,"0",""),MONTH(TbProventos[[#This Row],[Data]]))</f>
        <v>2019/04</v>
      </c>
      <c r="J26" s="4" t="str">
        <f>VLOOKUP(TbProventos[[#This Row],[Ativo]],TbAtivos!$C$3:$E$500,2,FALSE)</f>
        <v>FII</v>
      </c>
    </row>
    <row r="27" spans="2:10" ht="20.100000000000001" customHeight="1" x14ac:dyDescent="0.25">
      <c r="B27" s="2">
        <v>14</v>
      </c>
      <c r="C27" s="2" t="s">
        <v>12</v>
      </c>
      <c r="D27" s="2">
        <v>100</v>
      </c>
      <c r="E27" s="3">
        <v>38.4</v>
      </c>
      <c r="F27" s="3">
        <v>0</v>
      </c>
      <c r="G27" s="3">
        <v>38.4</v>
      </c>
      <c r="H27" s="1">
        <v>43572</v>
      </c>
      <c r="I27" s="4" t="str">
        <f>CONCATENATE(YEAR(TbProventos[[#This Row],[Data]]),"/",IF(MONTH(TbProventos[[#This Row],[Data]])&lt;10,"0",""),MONTH(TbProventos[[#This Row],[Data]]))</f>
        <v>2019/04</v>
      </c>
      <c r="J27" s="4" t="str">
        <f>VLOOKUP(TbProventos[[#This Row],[Ativo]],TbAtivos!$C$3:$E$500,2,FALSE)</f>
        <v>FII</v>
      </c>
    </row>
    <row r="28" spans="2:10" ht="20.100000000000001" customHeight="1" x14ac:dyDescent="0.25">
      <c r="B28" s="2">
        <v>14</v>
      </c>
      <c r="C28" s="2" t="s">
        <v>13</v>
      </c>
      <c r="D28" s="2">
        <v>100</v>
      </c>
      <c r="E28" s="3">
        <v>153.18</v>
      </c>
      <c r="F28" s="3">
        <v>0</v>
      </c>
      <c r="G28" s="3">
        <v>153.18</v>
      </c>
      <c r="H28" s="1">
        <v>43572</v>
      </c>
      <c r="I28" s="4" t="str">
        <f>CONCATENATE(YEAR(TbProventos[[#This Row],[Data]]),"/",IF(MONTH(TbProventos[[#This Row],[Data]])&lt;10,"0",""),MONTH(TbProventos[[#This Row],[Data]]))</f>
        <v>2019/04</v>
      </c>
      <c r="J28" s="4" t="str">
        <f>VLOOKUP(TbProventos[[#This Row],[Ativo]],TbAtivos!$C$3:$E$500,2,FALSE)</f>
        <v>FII</v>
      </c>
    </row>
    <row r="29" spans="2:10" ht="20.100000000000001" customHeight="1" x14ac:dyDescent="0.25">
      <c r="B29" s="2">
        <v>13</v>
      </c>
      <c r="C29" s="2" t="s">
        <v>15</v>
      </c>
      <c r="D29" s="2">
        <v>100</v>
      </c>
      <c r="E29" s="3">
        <v>156.13999999999999</v>
      </c>
      <c r="F29" s="3">
        <v>0</v>
      </c>
      <c r="G29" s="3">
        <v>156.13999999999999</v>
      </c>
      <c r="H29" s="1">
        <v>43600</v>
      </c>
      <c r="I29" s="4" t="str">
        <f>CONCATENATE(YEAR(TbProventos[[#This Row],[Data]]),"/",IF(MONTH(TbProventos[[#This Row],[Data]])&lt;10,"0",""),MONTH(TbProventos[[#This Row],[Data]]))</f>
        <v>2019/05</v>
      </c>
      <c r="J29" s="4" t="str">
        <f>VLOOKUP(TbProventos[[#This Row],[Ativo]],TbAtivos!$C$3:$E$500,2,FALSE)</f>
        <v>EMPRESA</v>
      </c>
    </row>
    <row r="30" spans="2:10" ht="20.100000000000001" customHeight="1" x14ac:dyDescent="0.25">
      <c r="B30" s="2">
        <v>14</v>
      </c>
      <c r="C30" s="2" t="s">
        <v>9</v>
      </c>
      <c r="D30" s="2">
        <v>100</v>
      </c>
      <c r="E30" s="3">
        <v>61</v>
      </c>
      <c r="F30" s="3">
        <v>0</v>
      </c>
      <c r="G30" s="3">
        <v>61</v>
      </c>
      <c r="H30" s="1">
        <v>43602</v>
      </c>
      <c r="I30" s="4" t="str">
        <f>CONCATENATE(YEAR(TbProventos[[#This Row],[Data]]),"/",IF(MONTH(TbProventos[[#This Row],[Data]])&lt;10,"0",""),MONTH(TbProventos[[#This Row],[Data]]))</f>
        <v>2019/05</v>
      </c>
      <c r="J30" s="4" t="str">
        <f>VLOOKUP(TbProventos[[#This Row],[Ativo]],TbAtivos!$C$3:$E$500,2,FALSE)</f>
        <v>FII</v>
      </c>
    </row>
    <row r="31" spans="2:10" ht="20.100000000000001" customHeight="1" x14ac:dyDescent="0.25">
      <c r="B31" s="2">
        <v>14</v>
      </c>
      <c r="C31" s="2" t="s">
        <v>11</v>
      </c>
      <c r="D31" s="2">
        <v>100</v>
      </c>
      <c r="E31" s="3">
        <v>99</v>
      </c>
      <c r="F31" s="3">
        <v>0</v>
      </c>
      <c r="G31" s="3">
        <v>99</v>
      </c>
      <c r="H31" s="1">
        <v>43602</v>
      </c>
      <c r="I31" s="4" t="str">
        <f>CONCATENATE(YEAR(TbProventos[[#This Row],[Data]]),"/",IF(MONTH(TbProventos[[#This Row],[Data]])&lt;10,"0",""),MONTH(TbProventos[[#This Row],[Data]]))</f>
        <v>2019/05</v>
      </c>
      <c r="J31" s="4" t="str">
        <f>VLOOKUP(TbProventos[[#This Row],[Ativo]],TbAtivos!$C$3:$E$500,2,FALSE)</f>
        <v>FII</v>
      </c>
    </row>
    <row r="32" spans="2:10" ht="20.100000000000001" customHeight="1" x14ac:dyDescent="0.25">
      <c r="B32" s="2">
        <v>14</v>
      </c>
      <c r="C32" s="2" t="s">
        <v>12</v>
      </c>
      <c r="D32" s="2">
        <v>100</v>
      </c>
      <c r="E32" s="3">
        <v>99.9</v>
      </c>
      <c r="F32" s="3">
        <v>0</v>
      </c>
      <c r="G32" s="3">
        <v>99.9</v>
      </c>
      <c r="H32" s="1">
        <v>43602</v>
      </c>
      <c r="I32" s="4" t="str">
        <f>CONCATENATE(YEAR(TbProventos[[#This Row],[Data]]),"/",IF(MONTH(TbProventos[[#This Row],[Data]])&lt;10,"0",""),MONTH(TbProventos[[#This Row],[Data]]))</f>
        <v>2019/05</v>
      </c>
      <c r="J32" s="4" t="str">
        <f>VLOOKUP(TbProventos[[#This Row],[Ativo]],TbAtivos!$C$3:$E$500,2,FALSE)</f>
        <v>FII</v>
      </c>
    </row>
    <row r="33" spans="2:10" ht="20.100000000000001" customHeight="1" x14ac:dyDescent="0.25">
      <c r="B33" s="2">
        <v>14</v>
      </c>
      <c r="C33" s="2" t="s">
        <v>13</v>
      </c>
      <c r="D33" s="2">
        <v>100</v>
      </c>
      <c r="E33" s="3">
        <v>98.42</v>
      </c>
      <c r="F33" s="3">
        <v>0</v>
      </c>
      <c r="G33" s="3">
        <v>98.42</v>
      </c>
      <c r="H33" s="1">
        <v>43602</v>
      </c>
      <c r="I33" s="4" t="str">
        <f>CONCATENATE(YEAR(TbProventos[[#This Row],[Data]]),"/",IF(MONTH(TbProventos[[#This Row],[Data]])&lt;10,"0",""),MONTH(TbProventos[[#This Row],[Data]]))</f>
        <v>2019/05</v>
      </c>
      <c r="J33" s="4" t="str">
        <f>VLOOKUP(TbProventos[[#This Row],[Ativo]],TbAtivos!$C$3:$E$500,2,FALSE)</f>
        <v>FII</v>
      </c>
    </row>
    <row r="34" spans="2:10" ht="20.100000000000001" customHeight="1" x14ac:dyDescent="0.25">
      <c r="B34" s="2">
        <v>13</v>
      </c>
      <c r="C34" s="2" t="s">
        <v>7</v>
      </c>
      <c r="D34" s="2">
        <v>100</v>
      </c>
      <c r="E34" s="3">
        <v>166</v>
      </c>
      <c r="F34" s="3">
        <v>0</v>
      </c>
      <c r="G34" s="3">
        <v>166</v>
      </c>
      <c r="H34" s="1">
        <v>43631</v>
      </c>
      <c r="I34" s="4" t="str">
        <f>CONCATENATE(YEAR(TbProventos[[#This Row],[Data]]),"/",IF(MONTH(TbProventos[[#This Row],[Data]])&lt;10,"0",""),MONTH(TbProventos[[#This Row],[Data]]))</f>
        <v>2019/06</v>
      </c>
      <c r="J34" s="4" t="str">
        <f>VLOOKUP(TbProventos[[#This Row],[Ativo]],TbAtivos!$C$3:$E$500,2,FALSE)</f>
        <v>EMPRESA</v>
      </c>
    </row>
    <row r="35" spans="2:10" ht="20.100000000000001" customHeight="1" x14ac:dyDescent="0.25">
      <c r="B35" s="2">
        <v>14</v>
      </c>
      <c r="C35" s="2" t="s">
        <v>9</v>
      </c>
      <c r="D35" s="2">
        <v>100</v>
      </c>
      <c r="E35" s="3">
        <v>37.44</v>
      </c>
      <c r="F35" s="3">
        <v>0</v>
      </c>
      <c r="G35" s="3">
        <v>37.44</v>
      </c>
      <c r="H35" s="1">
        <v>43633</v>
      </c>
      <c r="I35" s="4" t="str">
        <f>CONCATENATE(YEAR(TbProventos[[#This Row],[Data]]),"/",IF(MONTH(TbProventos[[#This Row],[Data]])&lt;10,"0",""),MONTH(TbProventos[[#This Row],[Data]]))</f>
        <v>2019/06</v>
      </c>
      <c r="J35" s="4" t="str">
        <f>VLOOKUP(TbProventos[[#This Row],[Ativo]],TbAtivos!$C$3:$E$500,2,FALSE)</f>
        <v>FII</v>
      </c>
    </row>
    <row r="36" spans="2:10" ht="20.100000000000001" customHeight="1" x14ac:dyDescent="0.25">
      <c r="B36" s="2">
        <v>14</v>
      </c>
      <c r="C36" s="2" t="s">
        <v>11</v>
      </c>
      <c r="D36" s="2">
        <v>100</v>
      </c>
      <c r="E36" s="3">
        <v>52.02</v>
      </c>
      <c r="F36" s="3">
        <v>0</v>
      </c>
      <c r="G36" s="3">
        <v>52.02</v>
      </c>
      <c r="H36" s="1">
        <v>43633</v>
      </c>
      <c r="I36" s="4" t="str">
        <f>CONCATENATE(YEAR(TbProventos[[#This Row],[Data]]),"/",IF(MONTH(TbProventos[[#This Row],[Data]])&lt;10,"0",""),MONTH(TbProventos[[#This Row],[Data]]))</f>
        <v>2019/06</v>
      </c>
      <c r="J36" s="4" t="str">
        <f>VLOOKUP(TbProventos[[#This Row],[Ativo]],TbAtivos!$C$3:$E$500,2,FALSE)</f>
        <v>FII</v>
      </c>
    </row>
    <row r="37" spans="2:10" ht="20.100000000000001" customHeight="1" x14ac:dyDescent="0.25">
      <c r="B37" s="2">
        <v>14</v>
      </c>
      <c r="C37" s="2" t="s">
        <v>12</v>
      </c>
      <c r="D37" s="2">
        <v>100</v>
      </c>
      <c r="E37" s="3">
        <v>42.14</v>
      </c>
      <c r="F37" s="3">
        <v>0</v>
      </c>
      <c r="G37" s="3">
        <v>42.14</v>
      </c>
      <c r="H37" s="1">
        <v>43633</v>
      </c>
      <c r="I37" s="4" t="str">
        <f>CONCATENATE(YEAR(TbProventos[[#This Row],[Data]]),"/",IF(MONTH(TbProventos[[#This Row],[Data]])&lt;10,"0",""),MONTH(TbProventos[[#This Row],[Data]]))</f>
        <v>2019/06</v>
      </c>
      <c r="J37" s="4" t="str">
        <f>VLOOKUP(TbProventos[[#This Row],[Ativo]],TbAtivos!$C$3:$E$500,2,FALSE)</f>
        <v>FII</v>
      </c>
    </row>
    <row r="38" spans="2:10" ht="20.100000000000001" customHeight="1" x14ac:dyDescent="0.25">
      <c r="B38" s="2">
        <v>14</v>
      </c>
      <c r="C38" s="2" t="s">
        <v>13</v>
      </c>
      <c r="D38" s="2">
        <v>100</v>
      </c>
      <c r="E38" s="3">
        <v>177.12</v>
      </c>
      <c r="F38" s="3">
        <v>0</v>
      </c>
      <c r="G38" s="3">
        <v>177.12</v>
      </c>
      <c r="H38" s="1">
        <v>43633</v>
      </c>
      <c r="I38" s="4" t="str">
        <f>CONCATENATE(YEAR(TbProventos[[#This Row],[Data]]),"/",IF(MONTH(TbProventos[[#This Row],[Data]])&lt;10,"0",""),MONTH(TbProventos[[#This Row],[Data]]))</f>
        <v>2019/06</v>
      </c>
      <c r="J38" s="4" t="str">
        <f>VLOOKUP(TbProventos[[#This Row],[Ativo]],TbAtivos!$C$3:$E$500,2,FALSE)</f>
        <v>FII</v>
      </c>
    </row>
    <row r="39" spans="2:10" ht="20.100000000000001" customHeight="1" x14ac:dyDescent="0.25">
      <c r="B39" s="2">
        <v>13</v>
      </c>
      <c r="C39" s="2" t="s">
        <v>8</v>
      </c>
      <c r="D39" s="2">
        <v>100</v>
      </c>
      <c r="E39" s="3">
        <v>162.75</v>
      </c>
      <c r="F39" s="3">
        <v>0</v>
      </c>
      <c r="G39" s="3">
        <v>162.75</v>
      </c>
      <c r="H39" s="1">
        <v>43661</v>
      </c>
      <c r="I39" s="4" t="str">
        <f>CONCATENATE(YEAR(TbProventos[[#This Row],[Data]]),"/",IF(MONTH(TbProventos[[#This Row],[Data]])&lt;10,"0",""),MONTH(TbProventos[[#This Row],[Data]]))</f>
        <v>2019/07</v>
      </c>
      <c r="J39" s="4" t="str">
        <f>VLOOKUP(TbProventos[[#This Row],[Ativo]],TbAtivos!$C$3:$E$500,2,FALSE)</f>
        <v>EMPRESA</v>
      </c>
    </row>
    <row r="40" spans="2:10" ht="20.100000000000001" customHeight="1" x14ac:dyDescent="0.25">
      <c r="B40" s="2">
        <v>14</v>
      </c>
      <c r="C40" s="2" t="s">
        <v>9</v>
      </c>
      <c r="D40" s="2">
        <v>100</v>
      </c>
      <c r="E40" s="3">
        <v>61</v>
      </c>
      <c r="F40" s="3">
        <v>0</v>
      </c>
      <c r="G40" s="3">
        <v>61</v>
      </c>
      <c r="H40" s="1">
        <v>43663</v>
      </c>
      <c r="I40" s="4" t="str">
        <f>CONCATENATE(YEAR(TbProventos[[#This Row],[Data]]),"/",IF(MONTH(TbProventos[[#This Row],[Data]])&lt;10,"0",""),MONTH(TbProventos[[#This Row],[Data]]))</f>
        <v>2019/07</v>
      </c>
      <c r="J40" s="4" t="str">
        <f>VLOOKUP(TbProventos[[#This Row],[Ativo]],TbAtivos!$C$3:$E$500,2,FALSE)</f>
        <v>FII</v>
      </c>
    </row>
    <row r="41" spans="2:10" ht="20.100000000000001" customHeight="1" x14ac:dyDescent="0.25">
      <c r="B41" s="2">
        <v>14</v>
      </c>
      <c r="C41" s="2" t="s">
        <v>11</v>
      </c>
      <c r="D41" s="2">
        <v>100</v>
      </c>
      <c r="E41" s="3">
        <v>180.6</v>
      </c>
      <c r="F41" s="3">
        <v>0</v>
      </c>
      <c r="G41" s="3">
        <v>180.6</v>
      </c>
      <c r="H41" s="1">
        <v>43663</v>
      </c>
      <c r="I41" s="4" t="str">
        <f>CONCATENATE(YEAR(TbProventos[[#This Row],[Data]]),"/",IF(MONTH(TbProventos[[#This Row],[Data]])&lt;10,"0",""),MONTH(TbProventos[[#This Row],[Data]]))</f>
        <v>2019/07</v>
      </c>
      <c r="J41" s="4" t="str">
        <f>VLOOKUP(TbProventos[[#This Row],[Ativo]],TbAtivos!$C$3:$E$500,2,FALSE)</f>
        <v>FII</v>
      </c>
    </row>
    <row r="42" spans="2:10" ht="20.100000000000001" customHeight="1" x14ac:dyDescent="0.25">
      <c r="B42" s="2">
        <v>14</v>
      </c>
      <c r="C42" s="2" t="s">
        <v>12</v>
      </c>
      <c r="D42" s="2">
        <v>100</v>
      </c>
      <c r="E42" s="3">
        <v>38.4</v>
      </c>
      <c r="F42" s="3">
        <v>0</v>
      </c>
      <c r="G42" s="3">
        <v>38.4</v>
      </c>
      <c r="H42" s="1">
        <v>43663</v>
      </c>
      <c r="I42" s="4" t="str">
        <f>CONCATENATE(YEAR(TbProventos[[#This Row],[Data]]),"/",IF(MONTH(TbProventos[[#This Row],[Data]])&lt;10,"0",""),MONTH(TbProventos[[#This Row],[Data]]))</f>
        <v>2019/07</v>
      </c>
      <c r="J42" s="4" t="str">
        <f>VLOOKUP(TbProventos[[#This Row],[Ativo]],TbAtivos!$C$3:$E$500,2,FALSE)</f>
        <v>FII</v>
      </c>
    </row>
    <row r="43" spans="2:10" ht="20.100000000000001" customHeight="1" x14ac:dyDescent="0.25">
      <c r="B43" s="2">
        <v>14</v>
      </c>
      <c r="C43" s="2" t="s">
        <v>13</v>
      </c>
      <c r="D43" s="2">
        <v>100</v>
      </c>
      <c r="E43" s="3">
        <v>153.18</v>
      </c>
      <c r="F43" s="3">
        <v>0</v>
      </c>
      <c r="G43" s="3">
        <v>153.18</v>
      </c>
      <c r="H43" s="1">
        <v>43663</v>
      </c>
      <c r="I43" s="4" t="str">
        <f>CONCATENATE(YEAR(TbProventos[[#This Row],[Data]]),"/",IF(MONTH(TbProventos[[#This Row],[Data]])&lt;10,"0",""),MONTH(TbProventos[[#This Row],[Data]]))</f>
        <v>2019/07</v>
      </c>
      <c r="J43" s="4" t="str">
        <f>VLOOKUP(TbProventos[[#This Row],[Ativo]],TbAtivos!$C$3:$E$500,2,FALSE)</f>
        <v>FII</v>
      </c>
    </row>
    <row r="44" spans="2:10" ht="20.100000000000001" customHeight="1" x14ac:dyDescent="0.25">
      <c r="B44" s="2">
        <v>13</v>
      </c>
      <c r="C44" s="2" t="s">
        <v>6</v>
      </c>
      <c r="D44" s="2">
        <v>100</v>
      </c>
      <c r="E44" s="3">
        <v>156.13999999999999</v>
      </c>
      <c r="F44" s="3">
        <v>0</v>
      </c>
      <c r="G44" s="3">
        <v>156.13999999999999</v>
      </c>
      <c r="H44" s="1">
        <v>43692</v>
      </c>
      <c r="I44" s="4" t="str">
        <f>CONCATENATE(YEAR(TbProventos[[#This Row],[Data]]),"/",IF(MONTH(TbProventos[[#This Row],[Data]])&lt;10,"0",""),MONTH(TbProventos[[#This Row],[Data]]))</f>
        <v>2019/08</v>
      </c>
      <c r="J44" s="4" t="str">
        <f>VLOOKUP(TbProventos[[#This Row],[Ativo]],TbAtivos!$C$3:$E$500,2,FALSE)</f>
        <v>EMPRESA</v>
      </c>
    </row>
    <row r="45" spans="2:10" ht="20.100000000000001" customHeight="1" x14ac:dyDescent="0.25">
      <c r="B45" s="2">
        <v>14</v>
      </c>
      <c r="C45" s="2" t="s">
        <v>9</v>
      </c>
      <c r="D45" s="2">
        <v>100</v>
      </c>
      <c r="E45" s="3">
        <v>61</v>
      </c>
      <c r="F45" s="3">
        <v>1.03</v>
      </c>
      <c r="G45" s="3">
        <v>59.97</v>
      </c>
      <c r="H45" s="1">
        <v>43694</v>
      </c>
      <c r="I45" s="4" t="str">
        <f>CONCATENATE(YEAR(TbProventos[[#This Row],[Data]]),"/",IF(MONTH(TbProventos[[#This Row],[Data]])&lt;10,"0",""),MONTH(TbProventos[[#This Row],[Data]]))</f>
        <v>2019/08</v>
      </c>
      <c r="J45" s="4" t="str">
        <f>VLOOKUP(TbProventos[[#This Row],[Ativo]],TbAtivos!$C$3:$E$500,2,FALSE)</f>
        <v>FII</v>
      </c>
    </row>
    <row r="46" spans="2:10" ht="20.100000000000001" customHeight="1" x14ac:dyDescent="0.25">
      <c r="B46" s="2">
        <v>14</v>
      </c>
      <c r="C46" s="2" t="s">
        <v>11</v>
      </c>
      <c r="D46" s="2">
        <v>100</v>
      </c>
      <c r="E46" s="3">
        <v>99</v>
      </c>
      <c r="F46" s="3">
        <v>0</v>
      </c>
      <c r="G46" s="3">
        <v>99</v>
      </c>
      <c r="H46" s="1">
        <v>43694</v>
      </c>
      <c r="I46" s="4" t="str">
        <f>CONCATENATE(YEAR(TbProventos[[#This Row],[Data]]),"/",IF(MONTH(TbProventos[[#This Row],[Data]])&lt;10,"0",""),MONTH(TbProventos[[#This Row],[Data]]))</f>
        <v>2019/08</v>
      </c>
      <c r="J46" s="4" t="str">
        <f>VLOOKUP(TbProventos[[#This Row],[Ativo]],TbAtivos!$C$3:$E$500,2,FALSE)</f>
        <v>FII</v>
      </c>
    </row>
    <row r="47" spans="2:10" ht="20.100000000000001" customHeight="1" x14ac:dyDescent="0.25">
      <c r="B47" s="2">
        <v>14</v>
      </c>
      <c r="C47" s="2" t="s">
        <v>12</v>
      </c>
      <c r="D47" s="2">
        <v>100</v>
      </c>
      <c r="E47" s="3">
        <v>99.9</v>
      </c>
      <c r="F47" s="3">
        <v>0</v>
      </c>
      <c r="G47" s="3">
        <v>99.9</v>
      </c>
      <c r="H47" s="1">
        <v>43694</v>
      </c>
      <c r="I47" s="4" t="str">
        <f>CONCATENATE(YEAR(TbProventos[[#This Row],[Data]]),"/",IF(MONTH(TbProventos[[#This Row],[Data]])&lt;10,"0",""),MONTH(TbProventos[[#This Row],[Data]]))</f>
        <v>2019/08</v>
      </c>
      <c r="J47" s="4" t="str">
        <f>VLOOKUP(TbProventos[[#This Row],[Ativo]],TbAtivos!$C$3:$E$500,2,FALSE)</f>
        <v>FII</v>
      </c>
    </row>
    <row r="48" spans="2:10" ht="20.100000000000001" customHeight="1" x14ac:dyDescent="0.25">
      <c r="B48" s="2">
        <v>14</v>
      </c>
      <c r="C48" s="2" t="s">
        <v>13</v>
      </c>
      <c r="D48" s="2">
        <v>100</v>
      </c>
      <c r="E48" s="3">
        <v>98.42</v>
      </c>
      <c r="F48" s="3">
        <v>0</v>
      </c>
      <c r="G48" s="3">
        <v>98.42</v>
      </c>
      <c r="H48" s="1">
        <v>43694</v>
      </c>
      <c r="I48" s="4" t="str">
        <f>CONCATENATE(YEAR(TbProventos[[#This Row],[Data]]),"/",IF(MONTH(TbProventos[[#This Row],[Data]])&lt;10,"0",""),MONTH(TbProventos[[#This Row],[Data]]))</f>
        <v>2019/08</v>
      </c>
      <c r="J48" s="4" t="str">
        <f>VLOOKUP(TbProventos[[#This Row],[Ativo]],TbAtivos!$C$3:$E$500,2,FALSE)</f>
        <v>FII</v>
      </c>
    </row>
    <row r="49" spans="2:10" ht="20.100000000000001" customHeight="1" x14ac:dyDescent="0.25">
      <c r="B49" s="2">
        <v>13</v>
      </c>
      <c r="C49" s="2" t="s">
        <v>4</v>
      </c>
      <c r="D49" s="2">
        <v>100</v>
      </c>
      <c r="E49" s="3">
        <v>166</v>
      </c>
      <c r="F49" s="3">
        <v>0</v>
      </c>
      <c r="G49" s="3">
        <v>166</v>
      </c>
      <c r="H49" s="1">
        <v>43723</v>
      </c>
      <c r="I49" s="4" t="str">
        <f>CONCATENATE(YEAR(TbProventos[[#This Row],[Data]]),"/",IF(MONTH(TbProventos[[#This Row],[Data]])&lt;10,"0",""),MONTH(TbProventos[[#This Row],[Data]]))</f>
        <v>2019/09</v>
      </c>
      <c r="J49" s="4" t="str">
        <f>VLOOKUP(TbProventos[[#This Row],[Ativo]],TbAtivos!$C$3:$E$500,2,FALSE)</f>
        <v>EMPRESA</v>
      </c>
    </row>
    <row r="50" spans="2:10" ht="20.100000000000001" customHeight="1" x14ac:dyDescent="0.25">
      <c r="B50" s="2">
        <v>14</v>
      </c>
      <c r="C50" s="2" t="s">
        <v>9</v>
      </c>
      <c r="D50" s="2">
        <v>100</v>
      </c>
      <c r="E50" s="3">
        <v>37.44</v>
      </c>
      <c r="F50" s="3">
        <v>0</v>
      </c>
      <c r="G50" s="3">
        <v>37.44</v>
      </c>
      <c r="H50" s="1">
        <v>43725</v>
      </c>
      <c r="I50" s="4" t="str">
        <f>CONCATENATE(YEAR(TbProventos[[#This Row],[Data]]),"/",IF(MONTH(TbProventos[[#This Row],[Data]])&lt;10,"0",""),MONTH(TbProventos[[#This Row],[Data]]))</f>
        <v>2019/09</v>
      </c>
      <c r="J50" s="4" t="str">
        <f>VLOOKUP(TbProventos[[#This Row],[Ativo]],TbAtivos!$C$3:$E$500,2,FALSE)</f>
        <v>FII</v>
      </c>
    </row>
    <row r="51" spans="2:10" ht="20.100000000000001" customHeight="1" x14ac:dyDescent="0.25">
      <c r="B51" s="2">
        <v>14</v>
      </c>
      <c r="C51" s="2" t="s">
        <v>11</v>
      </c>
      <c r="D51" s="2">
        <v>100</v>
      </c>
      <c r="E51" s="3">
        <v>52.02</v>
      </c>
      <c r="F51" s="3">
        <v>0</v>
      </c>
      <c r="G51" s="3">
        <v>52.02</v>
      </c>
      <c r="H51" s="1">
        <v>43725</v>
      </c>
      <c r="I51" s="4" t="str">
        <f>CONCATENATE(YEAR(TbProventos[[#This Row],[Data]]),"/",IF(MONTH(TbProventos[[#This Row],[Data]])&lt;10,"0",""),MONTH(TbProventos[[#This Row],[Data]]))</f>
        <v>2019/09</v>
      </c>
      <c r="J51" s="4" t="str">
        <f>VLOOKUP(TbProventos[[#This Row],[Ativo]],TbAtivos!$C$3:$E$500,2,FALSE)</f>
        <v>FII</v>
      </c>
    </row>
    <row r="52" spans="2:10" ht="20.100000000000001" customHeight="1" x14ac:dyDescent="0.25">
      <c r="B52" s="2">
        <v>14</v>
      </c>
      <c r="C52" s="2" t="s">
        <v>12</v>
      </c>
      <c r="D52" s="2">
        <v>100</v>
      </c>
      <c r="E52" s="3">
        <v>42.14</v>
      </c>
      <c r="F52" s="3">
        <v>0</v>
      </c>
      <c r="G52" s="3">
        <v>42.14</v>
      </c>
      <c r="H52" s="1">
        <v>43725</v>
      </c>
      <c r="I52" s="4" t="str">
        <f>CONCATENATE(YEAR(TbProventos[[#This Row],[Data]]),"/",IF(MONTH(TbProventos[[#This Row],[Data]])&lt;10,"0",""),MONTH(TbProventos[[#This Row],[Data]]))</f>
        <v>2019/09</v>
      </c>
      <c r="J52" s="4" t="str">
        <f>VLOOKUP(TbProventos[[#This Row],[Ativo]],TbAtivos!$C$3:$E$500,2,FALSE)</f>
        <v>FII</v>
      </c>
    </row>
    <row r="53" spans="2:10" ht="20.100000000000001" customHeight="1" x14ac:dyDescent="0.25">
      <c r="B53" s="2">
        <v>14</v>
      </c>
      <c r="C53" s="2" t="s">
        <v>13</v>
      </c>
      <c r="D53" s="2">
        <v>100</v>
      </c>
      <c r="E53" s="3">
        <v>177.12</v>
      </c>
      <c r="F53" s="3">
        <v>0</v>
      </c>
      <c r="G53" s="3">
        <v>177.12</v>
      </c>
      <c r="H53" s="1">
        <v>43725</v>
      </c>
      <c r="I53" s="4" t="str">
        <f>CONCATENATE(YEAR(TbProventos[[#This Row],[Data]]),"/",IF(MONTH(TbProventos[[#This Row],[Data]])&lt;10,"0",""),MONTH(TbProventos[[#This Row],[Data]]))</f>
        <v>2019/09</v>
      </c>
      <c r="J53" s="4" t="str">
        <f>VLOOKUP(TbProventos[[#This Row],[Ativo]],TbAtivos!$C$3:$E$500,2,FALSE)</f>
        <v>FII</v>
      </c>
    </row>
    <row r="54" spans="2:10" ht="20.100000000000001" customHeight="1" x14ac:dyDescent="0.25">
      <c r="B54" s="2">
        <v>13</v>
      </c>
      <c r="C54" s="2" t="s">
        <v>7</v>
      </c>
      <c r="D54" s="2">
        <v>100</v>
      </c>
      <c r="E54" s="3">
        <v>162.75</v>
      </c>
      <c r="F54" s="3">
        <v>0</v>
      </c>
      <c r="G54" s="3">
        <v>162.75</v>
      </c>
      <c r="H54" s="1">
        <v>43753</v>
      </c>
      <c r="I54" s="4" t="str">
        <f>CONCATENATE(YEAR(TbProventos[[#This Row],[Data]]),"/",IF(MONTH(TbProventos[[#This Row],[Data]])&lt;10,"0",""),MONTH(TbProventos[[#This Row],[Data]]))</f>
        <v>2019/10</v>
      </c>
      <c r="J54" s="4" t="str">
        <f>VLOOKUP(TbProventos[[#This Row],[Ativo]],TbAtivos!$C$3:$E$500,2,FALSE)</f>
        <v>EMPRESA</v>
      </c>
    </row>
    <row r="55" spans="2:10" ht="20.100000000000001" customHeight="1" x14ac:dyDescent="0.25">
      <c r="B55" s="2">
        <v>14</v>
      </c>
      <c r="C55" s="2" t="s">
        <v>9</v>
      </c>
      <c r="D55" s="2">
        <v>100</v>
      </c>
      <c r="E55" s="3">
        <v>61</v>
      </c>
      <c r="F55" s="3">
        <v>0</v>
      </c>
      <c r="G55" s="3">
        <v>61</v>
      </c>
      <c r="H55" s="1">
        <v>43755</v>
      </c>
      <c r="I55" s="4" t="str">
        <f>CONCATENATE(YEAR(TbProventos[[#This Row],[Data]]),"/",IF(MONTH(TbProventos[[#This Row],[Data]])&lt;10,"0",""),MONTH(TbProventos[[#This Row],[Data]]))</f>
        <v>2019/10</v>
      </c>
      <c r="J55" s="4" t="str">
        <f>VLOOKUP(TbProventos[[#This Row],[Ativo]],TbAtivos!$C$3:$E$500,2,FALSE)</f>
        <v>FII</v>
      </c>
    </row>
    <row r="56" spans="2:10" ht="20.100000000000001" customHeight="1" x14ac:dyDescent="0.25">
      <c r="B56" s="2">
        <v>14</v>
      </c>
      <c r="C56" s="2" t="s">
        <v>11</v>
      </c>
      <c r="D56" s="2">
        <v>100</v>
      </c>
      <c r="E56" s="3">
        <v>180.6</v>
      </c>
      <c r="F56" s="3">
        <v>0</v>
      </c>
      <c r="G56" s="3">
        <v>180.6</v>
      </c>
      <c r="H56" s="1">
        <v>43755</v>
      </c>
      <c r="I56" s="4" t="str">
        <f>CONCATENATE(YEAR(TbProventos[[#This Row],[Data]]),"/",IF(MONTH(TbProventos[[#This Row],[Data]])&lt;10,"0",""),MONTH(TbProventos[[#This Row],[Data]]))</f>
        <v>2019/10</v>
      </c>
      <c r="J56" s="4" t="str">
        <f>VLOOKUP(TbProventos[[#This Row],[Ativo]],TbAtivos!$C$3:$E$500,2,FALSE)</f>
        <v>FII</v>
      </c>
    </row>
    <row r="57" spans="2:10" ht="20.100000000000001" customHeight="1" x14ac:dyDescent="0.25">
      <c r="B57" s="2">
        <v>14</v>
      </c>
      <c r="C57" s="2" t="s">
        <v>12</v>
      </c>
      <c r="D57" s="2">
        <v>100</v>
      </c>
      <c r="E57" s="3">
        <v>38.4</v>
      </c>
      <c r="F57" s="3">
        <v>0</v>
      </c>
      <c r="G57" s="3">
        <v>38.4</v>
      </c>
      <c r="H57" s="1">
        <v>43755</v>
      </c>
      <c r="I57" s="4" t="str">
        <f>CONCATENATE(YEAR(TbProventos[[#This Row],[Data]]),"/",IF(MONTH(TbProventos[[#This Row],[Data]])&lt;10,"0",""),MONTH(TbProventos[[#This Row],[Data]]))</f>
        <v>2019/10</v>
      </c>
      <c r="J57" s="4" t="str">
        <f>VLOOKUP(TbProventos[[#This Row],[Ativo]],TbAtivos!$C$3:$E$500,2,FALSE)</f>
        <v>FII</v>
      </c>
    </row>
    <row r="58" spans="2:10" ht="20.100000000000001" customHeight="1" x14ac:dyDescent="0.25">
      <c r="B58" s="2">
        <v>14</v>
      </c>
      <c r="C58" s="2" t="s">
        <v>13</v>
      </c>
      <c r="D58" s="2">
        <v>100</v>
      </c>
      <c r="E58" s="3">
        <v>153.18</v>
      </c>
      <c r="F58" s="3">
        <v>0</v>
      </c>
      <c r="G58" s="3">
        <v>153.18</v>
      </c>
      <c r="H58" s="1">
        <v>43755</v>
      </c>
      <c r="I58" s="4" t="str">
        <f>CONCATENATE(YEAR(TbProventos[[#This Row],[Data]]),"/",IF(MONTH(TbProventos[[#This Row],[Data]])&lt;10,"0",""),MONTH(TbProventos[[#This Row],[Data]]))</f>
        <v>2019/10</v>
      </c>
      <c r="J58" s="4" t="str">
        <f>VLOOKUP(TbProventos[[#This Row],[Ativo]],TbAtivos!$C$3:$E$500,2,FALSE)</f>
        <v>FII</v>
      </c>
    </row>
    <row r="59" spans="2:10" ht="20.100000000000001" customHeight="1" x14ac:dyDescent="0.25">
      <c r="B59" s="2">
        <v>13</v>
      </c>
      <c r="C59" s="2" t="s">
        <v>15</v>
      </c>
      <c r="D59" s="2">
        <v>100</v>
      </c>
      <c r="E59" s="3">
        <v>156.13999999999999</v>
      </c>
      <c r="F59" s="3">
        <v>0</v>
      </c>
      <c r="G59" s="3">
        <v>156.13999999999999</v>
      </c>
      <c r="H59" s="1">
        <v>43753</v>
      </c>
      <c r="I59" s="4" t="str">
        <f>CONCATENATE(YEAR(TbProventos[[#This Row],[Data]]),"/",IF(MONTH(TbProventos[[#This Row],[Data]])&lt;10,"0",""),MONTH(TbProventos[[#This Row],[Data]]))</f>
        <v>2019/10</v>
      </c>
      <c r="J59" s="4" t="str">
        <f>VLOOKUP(TbProventos[[#This Row],[Ativo]],TbAtivos!$C$3:$E$500,2,FALSE)</f>
        <v>EMPRESA</v>
      </c>
    </row>
    <row r="60" spans="2:10" ht="20.100000000000001" customHeight="1" x14ac:dyDescent="0.25">
      <c r="B60" s="2">
        <v>14</v>
      </c>
      <c r="C60" s="2" t="s">
        <v>9</v>
      </c>
      <c r="D60" s="2">
        <v>100</v>
      </c>
      <c r="E60" s="3">
        <v>61</v>
      </c>
      <c r="F60" s="3">
        <v>0</v>
      </c>
      <c r="G60" s="3">
        <v>61</v>
      </c>
      <c r="H60" s="1">
        <v>43755</v>
      </c>
      <c r="I60" s="4" t="str">
        <f>CONCATENATE(YEAR(TbProventos[[#This Row],[Data]]),"/",IF(MONTH(TbProventos[[#This Row],[Data]])&lt;10,"0",""),MONTH(TbProventos[[#This Row],[Data]]))</f>
        <v>2019/10</v>
      </c>
      <c r="J60" s="4" t="str">
        <f>VLOOKUP(TbProventos[[#This Row],[Ativo]],TbAtivos!$C$3:$E$500,2,FALSE)</f>
        <v>FII</v>
      </c>
    </row>
    <row r="61" spans="2:10" ht="20.100000000000001" customHeight="1" x14ac:dyDescent="0.25">
      <c r="B61" s="2">
        <v>14</v>
      </c>
      <c r="C61" s="2" t="s">
        <v>11</v>
      </c>
      <c r="D61" s="2">
        <v>100</v>
      </c>
      <c r="E61" s="3">
        <v>99</v>
      </c>
      <c r="F61" s="3">
        <v>0</v>
      </c>
      <c r="G61" s="3">
        <v>99</v>
      </c>
      <c r="H61" s="1">
        <v>43755</v>
      </c>
      <c r="I61" s="4" t="str">
        <f>CONCATENATE(YEAR(TbProventos[[#This Row],[Data]]),"/",IF(MONTH(TbProventos[[#This Row],[Data]])&lt;10,"0",""),MONTH(TbProventos[[#This Row],[Data]]))</f>
        <v>2019/10</v>
      </c>
      <c r="J61" s="4" t="str">
        <f>VLOOKUP(TbProventos[[#This Row],[Ativo]],TbAtivos!$C$3:$E$500,2,FALSE)</f>
        <v>FII</v>
      </c>
    </row>
    <row r="62" spans="2:10" ht="20.100000000000001" customHeight="1" x14ac:dyDescent="0.25">
      <c r="B62" s="2">
        <v>14</v>
      </c>
      <c r="C62" s="2" t="s">
        <v>12</v>
      </c>
      <c r="D62" s="2">
        <v>100</v>
      </c>
      <c r="E62" s="3">
        <v>99.9</v>
      </c>
      <c r="F62" s="3">
        <v>0</v>
      </c>
      <c r="G62" s="3">
        <v>99.9</v>
      </c>
      <c r="H62" s="1">
        <v>43755</v>
      </c>
      <c r="I62" s="4" t="str">
        <f>CONCATENATE(YEAR(TbProventos[[#This Row],[Data]]),"/",IF(MONTH(TbProventos[[#This Row],[Data]])&lt;10,"0",""),MONTH(TbProventos[[#This Row],[Data]]))</f>
        <v>2019/10</v>
      </c>
      <c r="J62" s="4" t="str">
        <f>VLOOKUP(TbProventos[[#This Row],[Ativo]],TbAtivos!$C$3:$E$500,2,FALSE)</f>
        <v>FII</v>
      </c>
    </row>
    <row r="63" spans="2:10" ht="20.100000000000001" customHeight="1" x14ac:dyDescent="0.25">
      <c r="B63" s="2">
        <v>14</v>
      </c>
      <c r="C63" s="2" t="s">
        <v>13</v>
      </c>
      <c r="D63" s="2">
        <v>100</v>
      </c>
      <c r="E63" s="3">
        <v>98.42</v>
      </c>
      <c r="F63" s="3">
        <v>0</v>
      </c>
      <c r="G63" s="3">
        <v>98.42</v>
      </c>
      <c r="H63" s="1">
        <v>43755</v>
      </c>
      <c r="I63" s="4" t="str">
        <f>CONCATENATE(YEAR(TbProventos[[#This Row],[Data]]),"/",IF(MONTH(TbProventos[[#This Row],[Data]])&lt;10,"0",""),MONTH(TbProventos[[#This Row],[Data]]))</f>
        <v>2019/10</v>
      </c>
      <c r="J63" s="4" t="str">
        <f>VLOOKUP(TbProventos[[#This Row],[Ativo]],TbAtivos!$C$3:$E$500,2,FALSE)</f>
        <v>FII</v>
      </c>
    </row>
    <row r="64" spans="2:10" ht="20.100000000000001" customHeight="1" x14ac:dyDescent="0.25">
      <c r="B64" s="2">
        <v>13</v>
      </c>
      <c r="C64" s="2" t="s">
        <v>7</v>
      </c>
      <c r="D64" s="2">
        <v>100</v>
      </c>
      <c r="E64" s="3">
        <v>166</v>
      </c>
      <c r="F64" s="3">
        <v>0</v>
      </c>
      <c r="G64" s="3">
        <v>166</v>
      </c>
      <c r="H64" s="1">
        <v>43753</v>
      </c>
      <c r="I64" s="4" t="str">
        <f>CONCATENATE(YEAR(TbProventos[[#This Row],[Data]]),"/",IF(MONTH(TbProventos[[#This Row],[Data]])&lt;10,"0",""),MONTH(TbProventos[[#This Row],[Data]]))</f>
        <v>2019/10</v>
      </c>
      <c r="J64" s="4" t="str">
        <f>VLOOKUP(TbProventos[[#This Row],[Ativo]],TbAtivos!$C$3:$E$500,2,FALSE)</f>
        <v>EMPRESA</v>
      </c>
    </row>
    <row r="65" spans="2:10" ht="20.100000000000001" customHeight="1" x14ac:dyDescent="0.25">
      <c r="B65" s="2">
        <v>14</v>
      </c>
      <c r="C65" s="2" t="s">
        <v>9</v>
      </c>
      <c r="D65" s="2">
        <v>100</v>
      </c>
      <c r="E65" s="3">
        <v>37.44</v>
      </c>
      <c r="F65" s="3">
        <v>0</v>
      </c>
      <c r="G65" s="3">
        <v>37.44</v>
      </c>
      <c r="H65" s="1">
        <v>43755</v>
      </c>
      <c r="I65" s="4" t="str">
        <f>CONCATENATE(YEAR(TbProventos[[#This Row],[Data]]),"/",IF(MONTH(TbProventos[[#This Row],[Data]])&lt;10,"0",""),MONTH(TbProventos[[#This Row],[Data]]))</f>
        <v>2019/10</v>
      </c>
      <c r="J65" s="4" t="str">
        <f>VLOOKUP(TbProventos[[#This Row],[Ativo]],TbAtivos!$C$3:$E$500,2,FALSE)</f>
        <v>FII</v>
      </c>
    </row>
    <row r="66" spans="2:10" ht="20.100000000000001" customHeight="1" x14ac:dyDescent="0.25">
      <c r="B66" s="2">
        <v>14</v>
      </c>
      <c r="C66" s="2" t="s">
        <v>11</v>
      </c>
      <c r="D66" s="2">
        <v>100</v>
      </c>
      <c r="E66" s="3">
        <v>52.02</v>
      </c>
      <c r="F66" s="3">
        <v>0</v>
      </c>
      <c r="G66" s="3">
        <v>52.02</v>
      </c>
      <c r="H66" s="1">
        <v>43755</v>
      </c>
      <c r="I66" s="4" t="str">
        <f>CONCATENATE(YEAR(TbProventos[[#This Row],[Data]]),"/",IF(MONTH(TbProventos[[#This Row],[Data]])&lt;10,"0",""),MONTH(TbProventos[[#This Row],[Data]]))</f>
        <v>2019/10</v>
      </c>
      <c r="J66" s="4" t="str">
        <f>VLOOKUP(TbProventos[[#This Row],[Ativo]],TbAtivos!$C$3:$E$500,2,FALSE)</f>
        <v>FII</v>
      </c>
    </row>
    <row r="67" spans="2:10" ht="20.100000000000001" customHeight="1" x14ac:dyDescent="0.25">
      <c r="B67" s="2">
        <v>14</v>
      </c>
      <c r="C67" s="2" t="s">
        <v>12</v>
      </c>
      <c r="D67" s="2">
        <v>100</v>
      </c>
      <c r="E67" s="3">
        <v>42.14</v>
      </c>
      <c r="F67" s="3">
        <v>0</v>
      </c>
      <c r="G67" s="3">
        <v>42.14</v>
      </c>
      <c r="H67" s="1">
        <v>43755</v>
      </c>
      <c r="I67" s="4" t="str">
        <f>CONCATENATE(YEAR(TbProventos[[#This Row],[Data]]),"/",IF(MONTH(TbProventos[[#This Row],[Data]])&lt;10,"0",""),MONTH(TbProventos[[#This Row],[Data]]))</f>
        <v>2019/10</v>
      </c>
      <c r="J67" s="4" t="str">
        <f>VLOOKUP(TbProventos[[#This Row],[Ativo]],TbAtivos!$C$3:$E$500,2,FALSE)</f>
        <v>FII</v>
      </c>
    </row>
    <row r="68" spans="2:10" ht="20.100000000000001" customHeight="1" x14ac:dyDescent="0.25">
      <c r="B68" s="2">
        <v>14</v>
      </c>
      <c r="C68" s="2" t="s">
        <v>13</v>
      </c>
      <c r="D68" s="2">
        <v>100</v>
      </c>
      <c r="E68" s="3">
        <v>177.12</v>
      </c>
      <c r="F68" s="3">
        <v>0</v>
      </c>
      <c r="G68" s="3">
        <v>177.12</v>
      </c>
      <c r="H68" s="1">
        <v>43755</v>
      </c>
      <c r="I68" s="4" t="str">
        <f>CONCATENATE(YEAR(TbProventos[[#This Row],[Data]]),"/",IF(MONTH(TbProventos[[#This Row],[Data]])&lt;10,"0",""),MONTH(TbProventos[[#This Row],[Data]]))</f>
        <v>2019/10</v>
      </c>
      <c r="J68" s="4" t="str">
        <f>VLOOKUP(TbProventos[[#This Row],[Ativo]],TbAtivos!$C$3:$E$500,2,FALSE)</f>
        <v>FII</v>
      </c>
    </row>
    <row r="69" spans="2:10" ht="20.100000000000001" customHeight="1" x14ac:dyDescent="0.25">
      <c r="B69" s="2">
        <v>14</v>
      </c>
      <c r="C69" s="2" t="s">
        <v>15</v>
      </c>
      <c r="D69" s="2">
        <v>100</v>
      </c>
      <c r="E69" s="3">
        <v>162.75</v>
      </c>
      <c r="F69" s="3">
        <v>0</v>
      </c>
      <c r="G69" s="3">
        <v>162.75</v>
      </c>
      <c r="H69" s="1">
        <v>43845</v>
      </c>
      <c r="I69" s="4" t="str">
        <f>CONCATENATE(YEAR(TbProventos[[#This Row],[Data]]),"/",IF(MONTH(TbProventos[[#This Row],[Data]])&lt;10,"0",""),MONTH(TbProventos[[#This Row],[Data]]))</f>
        <v>2020/01</v>
      </c>
      <c r="J69" s="4" t="str">
        <f>VLOOKUP(TbProventos[[#This Row],[Ativo]],TbAtivos!$C$3:$E$500,2,FALSE)</f>
        <v>EMPRESA</v>
      </c>
    </row>
    <row r="70" spans="2:10" ht="20.100000000000001" customHeight="1" x14ac:dyDescent="0.25">
      <c r="B70" s="2">
        <v>14</v>
      </c>
      <c r="C70" s="2" t="s">
        <v>9</v>
      </c>
      <c r="D70" s="2">
        <v>100</v>
      </c>
      <c r="E70" s="3">
        <v>61</v>
      </c>
      <c r="F70" s="3">
        <v>0</v>
      </c>
      <c r="G70" s="3">
        <v>61</v>
      </c>
      <c r="H70" s="1">
        <v>43847</v>
      </c>
      <c r="I70" s="4" t="str">
        <f>CONCATENATE(YEAR(TbProventos[[#This Row],[Data]]),"/",IF(MONTH(TbProventos[[#This Row],[Data]])&lt;10,"0",""),MONTH(TbProventos[[#This Row],[Data]]))</f>
        <v>2020/01</v>
      </c>
      <c r="J70" s="4" t="str">
        <f>VLOOKUP(TbProventos[[#This Row],[Ativo]],TbAtivos!$C$3:$E$500,2,FALSE)</f>
        <v>FII</v>
      </c>
    </row>
    <row r="71" spans="2:10" ht="20.100000000000001" customHeight="1" x14ac:dyDescent="0.25">
      <c r="B71" s="2">
        <v>14</v>
      </c>
      <c r="C71" s="2" t="s">
        <v>11</v>
      </c>
      <c r="D71" s="2">
        <v>100</v>
      </c>
      <c r="E71" s="3">
        <v>180.6</v>
      </c>
      <c r="F71" s="3">
        <v>0</v>
      </c>
      <c r="G71" s="3">
        <v>180.6</v>
      </c>
      <c r="H71" s="1">
        <v>43847</v>
      </c>
      <c r="I71" s="4" t="str">
        <f>CONCATENATE(YEAR(TbProventos[[#This Row],[Data]]),"/",IF(MONTH(TbProventos[[#This Row],[Data]])&lt;10,"0",""),MONTH(TbProventos[[#This Row],[Data]]))</f>
        <v>2020/01</v>
      </c>
      <c r="J71" s="4" t="str">
        <f>VLOOKUP(TbProventos[[#This Row],[Ativo]],TbAtivos!$C$3:$E$500,2,FALSE)</f>
        <v>FII</v>
      </c>
    </row>
    <row r="72" spans="2:10" ht="20.100000000000001" customHeight="1" x14ac:dyDescent="0.25">
      <c r="B72" s="2">
        <v>14</v>
      </c>
      <c r="C72" s="2" t="s">
        <v>12</v>
      </c>
      <c r="D72" s="2">
        <v>100</v>
      </c>
      <c r="E72" s="3">
        <v>38.4</v>
      </c>
      <c r="F72" s="3">
        <v>0</v>
      </c>
      <c r="G72" s="3">
        <v>38.4</v>
      </c>
      <c r="H72" s="1">
        <v>43847</v>
      </c>
      <c r="I72" s="4" t="str">
        <f>CONCATENATE(YEAR(TbProventos[[#This Row],[Data]]),"/",IF(MONTH(TbProventos[[#This Row],[Data]])&lt;10,"0",""),MONTH(TbProventos[[#This Row],[Data]]))</f>
        <v>2020/01</v>
      </c>
      <c r="J72" s="4" t="str">
        <f>VLOOKUP(TbProventos[[#This Row],[Ativo]],TbAtivos!$C$3:$E$500,2,FALSE)</f>
        <v>FII</v>
      </c>
    </row>
    <row r="73" spans="2:10" ht="20.100000000000001" customHeight="1" x14ac:dyDescent="0.25">
      <c r="B73" s="2">
        <v>14</v>
      </c>
      <c r="C73" s="2" t="s">
        <v>13</v>
      </c>
      <c r="D73" s="2">
        <v>100</v>
      </c>
      <c r="E73" s="3">
        <v>153.18</v>
      </c>
      <c r="F73" s="3">
        <v>0</v>
      </c>
      <c r="G73" s="3">
        <v>153.18</v>
      </c>
      <c r="H73" s="1">
        <v>43847</v>
      </c>
      <c r="I73" s="4" t="str">
        <f>CONCATENATE(YEAR(TbProventos[[#This Row],[Data]]),"/",IF(MONTH(TbProventos[[#This Row],[Data]])&lt;10,"0",""),MONTH(TbProventos[[#This Row],[Data]]))</f>
        <v>2020/01</v>
      </c>
      <c r="J73" s="4" t="str">
        <f>VLOOKUP(TbProventos[[#This Row],[Ativo]],TbAtivos!$C$3:$E$500,2,FALSE)</f>
        <v>FII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showGridLines="0" topLeftCell="B1" workbookViewId="0">
      <selection activeCell="B1" sqref="A1:XFD1048576"/>
    </sheetView>
  </sheetViews>
  <sheetFormatPr defaultRowHeight="15" x14ac:dyDescent="0.25"/>
  <cols>
    <col min="1" max="1" width="0" hidden="1" customWidth="1"/>
    <col min="2" max="2" width="3.42578125" customWidth="1"/>
    <col min="3" max="5" width="14.28515625" customWidth="1"/>
  </cols>
  <sheetData>
    <row r="1" spans="1:5" x14ac:dyDescent="0.25">
      <c r="A1" t="s">
        <v>0</v>
      </c>
    </row>
    <row r="2" spans="1:5" x14ac:dyDescent="0.25">
      <c r="C2" t="s">
        <v>1</v>
      </c>
      <c r="D2" t="s">
        <v>2</v>
      </c>
      <c r="E2" t="s">
        <v>3</v>
      </c>
    </row>
    <row r="3" spans="1:5" x14ac:dyDescent="0.25">
      <c r="A3">
        <v>1</v>
      </c>
      <c r="C3" t="s">
        <v>4</v>
      </c>
      <c r="D3" t="s">
        <v>5</v>
      </c>
      <c r="E3">
        <v>7.88</v>
      </c>
    </row>
    <row r="4" spans="1:5" x14ac:dyDescent="0.25">
      <c r="A4">
        <v>2</v>
      </c>
      <c r="C4" t="s">
        <v>6</v>
      </c>
      <c r="D4" t="s">
        <v>5</v>
      </c>
      <c r="E4">
        <v>20.149999999999999</v>
      </c>
    </row>
    <row r="5" spans="1:5" x14ac:dyDescent="0.25">
      <c r="A5">
        <v>3</v>
      </c>
      <c r="C5" t="s">
        <v>7</v>
      </c>
      <c r="D5" t="s">
        <v>5</v>
      </c>
      <c r="E5">
        <v>8.14</v>
      </c>
    </row>
    <row r="6" spans="1:5" x14ac:dyDescent="0.25">
      <c r="A6">
        <v>4</v>
      </c>
      <c r="C6" t="s">
        <v>8</v>
      </c>
      <c r="D6" t="s">
        <v>5</v>
      </c>
      <c r="E6">
        <v>17.149999999999999</v>
      </c>
    </row>
    <row r="7" spans="1:5" x14ac:dyDescent="0.25">
      <c r="A7">
        <v>5</v>
      </c>
      <c r="C7" t="s">
        <v>9</v>
      </c>
      <c r="D7" t="s">
        <v>10</v>
      </c>
      <c r="E7">
        <v>194.98</v>
      </c>
    </row>
    <row r="8" spans="1:5" x14ac:dyDescent="0.25">
      <c r="A8">
        <v>6</v>
      </c>
      <c r="C8" t="s">
        <v>11</v>
      </c>
      <c r="D8" t="s">
        <v>10</v>
      </c>
      <c r="E8">
        <v>174.47</v>
      </c>
    </row>
    <row r="9" spans="1:5" x14ac:dyDescent="0.25">
      <c r="A9">
        <v>7</v>
      </c>
      <c r="C9" t="s">
        <v>12</v>
      </c>
      <c r="D9" t="s">
        <v>10</v>
      </c>
      <c r="E9">
        <v>141.94</v>
      </c>
    </row>
    <row r="10" spans="1:5" x14ac:dyDescent="0.25">
      <c r="A10">
        <v>8</v>
      </c>
      <c r="C10" t="s">
        <v>13</v>
      </c>
      <c r="D10" t="s">
        <v>10</v>
      </c>
      <c r="E10">
        <v>161.91</v>
      </c>
    </row>
    <row r="11" spans="1:5" x14ac:dyDescent="0.25">
      <c r="A11">
        <v>9</v>
      </c>
      <c r="C11" t="s">
        <v>15</v>
      </c>
      <c r="D11" t="s">
        <v>5</v>
      </c>
      <c r="E11">
        <v>9.0500000000000007</v>
      </c>
    </row>
    <row r="12" spans="1:5" x14ac:dyDescent="0.25">
      <c r="A12">
        <v>10</v>
      </c>
    </row>
    <row r="13" spans="1:5" x14ac:dyDescent="0.25">
      <c r="A1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DashBoard</vt:lpstr>
      <vt:lpstr>DashBoardAux</vt:lpstr>
      <vt:lpstr>ReCarteira</vt:lpstr>
      <vt:lpstr>ReCarteiraAções</vt:lpstr>
      <vt:lpstr>ReCarteiraFII</vt:lpstr>
      <vt:lpstr>ReProventos</vt:lpstr>
      <vt:lpstr>ReAportes</vt:lpstr>
      <vt:lpstr>TbAportes</vt:lpstr>
      <vt:lpstr>TbProventos</vt:lpstr>
      <vt:lpstr>TbAtivos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2026-01-15T02:34:26Z</dcterms:modified>
</cp:coreProperties>
</file>