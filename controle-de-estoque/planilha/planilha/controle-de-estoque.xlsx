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kv\OneDrive\Desktop\CARREIRA\Portfolio Projetos\Projetos Excel\"/>
    </mc:Choice>
  </mc:AlternateContent>
  <xr:revisionPtr revIDLastSave="0" documentId="13_ncr:1_{55858798-3FB3-4BEF-B468-D2742FB65808}" xr6:coauthVersionLast="47" xr6:coauthVersionMax="47" xr10:uidLastSave="{00000000-0000-0000-0000-000000000000}"/>
  <bookViews>
    <workbookView xWindow="20370" yWindow="-4815" windowWidth="29040" windowHeight="15840" xr2:uid="{00000000-000D-0000-FFFF-FFFF00000000}"/>
  </bookViews>
  <sheets>
    <sheet name="Início" sheetId="1" r:id="rId1"/>
    <sheet name="Cadastro" sheetId="2" r:id="rId2"/>
    <sheet name="Lançamento" sheetId="3" r:id="rId3"/>
  </sheets>
  <definedNames>
    <definedName name="Colunaprodutos">Cadastro!$A$4:$A$7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tEHyhGjJ5yLq4F9upZYCz0/O7HkXJPK6DGSzi/E68k="/>
    </ext>
  </extLst>
</workbook>
</file>

<file path=xl/calcChain.xml><?xml version="1.0" encoding="utf-8"?>
<calcChain xmlns="http://schemas.openxmlformats.org/spreadsheetml/2006/main">
  <c r="D10" i="3" l="1"/>
  <c r="C10" i="3"/>
  <c r="B10" i="3"/>
  <c r="A10" i="3"/>
  <c r="E9" i="3"/>
  <c r="E8" i="3"/>
  <c r="E7" i="3"/>
  <c r="E6" i="3"/>
  <c r="E5" i="3"/>
  <c r="E4" i="3"/>
  <c r="D8" i="2"/>
  <c r="C8" i="2"/>
  <c r="A8" i="2"/>
  <c r="E7" i="2"/>
  <c r="F6" i="2"/>
  <c r="E6" i="2"/>
  <c r="E5" i="2"/>
  <c r="F5" i="2" s="1"/>
  <c r="F4" i="2"/>
  <c r="E4" i="2"/>
  <c r="F8" i="2" l="1"/>
</calcChain>
</file>

<file path=xl/sharedStrings.xml><?xml version="1.0" encoding="utf-8"?>
<sst xmlns="http://schemas.openxmlformats.org/spreadsheetml/2006/main" count="25" uniqueCount="14">
  <si>
    <t xml:space="preserve">PRODUTO
</t>
  </si>
  <si>
    <t xml:space="preserve">MEDIDA
</t>
  </si>
  <si>
    <t>ESTOQUE 
MINIMO</t>
  </si>
  <si>
    <t>ESTOQUE 
MÁXIMO</t>
  </si>
  <si>
    <t xml:space="preserve">SALDO
</t>
  </si>
  <si>
    <t xml:space="preserve">AVISOS
</t>
  </si>
  <si>
    <t>Caneta esferogrática azul</t>
  </si>
  <si>
    <t>Unidade</t>
  </si>
  <si>
    <t>Caneta esferogrática preta</t>
  </si>
  <si>
    <t>Caneta esferogrática vermelha</t>
  </si>
  <si>
    <t>Lapiseira</t>
  </si>
  <si>
    <t xml:space="preserve">DATA
</t>
  </si>
  <si>
    <t xml:space="preserve">ENTRADA
</t>
  </si>
  <si>
    <t xml:space="preserve">SAÍDA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</si>
</sst>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0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9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" fontId="1" fillId="3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/>
  </cellXfs>
  <cellStyles count="1">
    <cellStyle name="Normal" xfId="0" builtinId="0"/>
  </cellStyles>
  <dxfs count="10">
    <dxf>
      <font>
        <b/>
        <color rgb="FFFF0000"/>
      </font>
      <fill>
        <patternFill patternType="none"/>
      </fill>
    </dxf>
    <dxf>
      <font>
        <b/>
        <color rgb="FFFFFF00"/>
      </font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Cadastro-style" pivot="0" count="4" xr9:uid="{00000000-0011-0000-FFFF-FFFF00000000}">
      <tableStyleElement type="headerRow" dxfId="9"/>
      <tableStyleElement type="totalRow" dxfId="6"/>
      <tableStyleElement type="firstRowStripe" dxfId="8"/>
      <tableStyleElement type="secondRowStripe" dxfId="7"/>
    </tableStyle>
    <tableStyle name="Lançamento-style" pivot="0" count="4" xr9:uid="{00000000-0011-0000-FFFF-FFFF01000000}">
      <tableStyleElement type="headerRow" dxfId="5"/>
      <tableStyleElement type="totalRow" dxfId="2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SALDO
DE PRODUTOS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Cadastro!$E$3</c:f>
              <c:strCache>
                <c:ptCount val="1"/>
                <c:pt idx="0">
                  <c:v>SALDO
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836-4FF3-B81F-20A5AC6A29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E836-4FF3-B81F-20A5AC6A29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E836-4FF3-B81F-20A5AC6A29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E836-4FF3-B81F-20A5AC6A2915}"/>
              </c:ext>
            </c:extLst>
          </c:dPt>
          <c:cat>
            <c:strRef>
              <c:f>Cadastro!$A$4:$A$7</c:f>
              <c:strCache>
                <c:ptCount val="4"/>
                <c:pt idx="0">
                  <c:v>Caneta esferogrática azul</c:v>
                </c:pt>
                <c:pt idx="1">
                  <c:v>Caneta esferogrática preta</c:v>
                </c:pt>
                <c:pt idx="2">
                  <c:v>Caneta esferogrática vermelha</c:v>
                </c:pt>
                <c:pt idx="3">
                  <c:v>Lapiseira</c:v>
                </c:pt>
              </c:strCache>
            </c:strRef>
          </c:cat>
          <c:val>
            <c:numRef>
              <c:f>Cadastro!$E$4:$E$7</c:f>
              <c:numCache>
                <c:formatCode>General</c:formatCode>
                <c:ptCount val="4"/>
                <c:pt idx="0">
                  <c:v>5</c:v>
                </c:pt>
                <c:pt idx="1">
                  <c:v>80</c:v>
                </c:pt>
                <c:pt idx="2">
                  <c:v>165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36-4FF3-B81F-20A5AC6A2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Lan&#231;amento!A1"/><Relationship Id="rId2" Type="http://schemas.openxmlformats.org/officeDocument/2006/relationships/hyperlink" Target="#'Cadastro'!A1"/><Relationship Id="rId1" Type="http://schemas.openxmlformats.org/officeDocument/2006/relationships/hyperlink" Target="#In&#237;cio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adastro!A1"/><Relationship Id="rId2" Type="http://schemas.openxmlformats.org/officeDocument/2006/relationships/hyperlink" Target="#In&#237;cio!A1"/><Relationship Id="rId1" Type="http://schemas.openxmlformats.org/officeDocument/2006/relationships/chart" Target="../charts/chart1.xml"/><Relationship Id="rId4" Type="http://schemas.openxmlformats.org/officeDocument/2006/relationships/hyperlink" Target="#Lan&#231;ament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Cadastro'!A1"/><Relationship Id="rId1" Type="http://schemas.openxmlformats.org/officeDocument/2006/relationships/hyperlink" Target="#In&#237;cio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142875</xdr:rowOff>
    </xdr:from>
    <xdr:ext cx="2105025" cy="323850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298250" y="3622838"/>
          <a:ext cx="2095500" cy="314325"/>
        </a:xfrm>
        <a:prstGeom prst="snip2SameRect">
          <a:avLst>
            <a:gd name="adj1" fmla="val 16667"/>
            <a:gd name="adj2" fmla="val 0"/>
          </a:avLst>
        </a:prstGeom>
        <a:solidFill>
          <a:srgbClr val="BFBFB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Inicio</a:t>
          </a:r>
          <a:r>
            <a:rPr lang="en-US" sz="1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2457450</xdr:colOff>
      <xdr:row>0</xdr:row>
      <xdr:rowOff>142875</xdr:rowOff>
    </xdr:from>
    <xdr:ext cx="2085975" cy="314325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307775" y="3627600"/>
          <a:ext cx="2076450" cy="304800"/>
        </a:xfrm>
        <a:prstGeom prst="snip2SameRect">
          <a:avLst>
            <a:gd name="adj1" fmla="val 16667"/>
            <a:gd name="adj2" fmla="val 0"/>
          </a:avLst>
        </a:prstGeom>
        <a:solidFill>
          <a:schemeClr val="accent3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Cadastro</a:t>
          </a:r>
          <a:endParaRPr sz="1400"/>
        </a:p>
      </xdr:txBody>
    </xdr:sp>
    <xdr:clientData fLocksWithSheet="0"/>
  </xdr:oneCellAnchor>
  <xdr:oneCellAnchor>
    <xdr:from>
      <xdr:col>1</xdr:col>
      <xdr:colOff>1905000</xdr:colOff>
      <xdr:row>0</xdr:row>
      <xdr:rowOff>142875</xdr:rowOff>
    </xdr:from>
    <xdr:ext cx="2085975" cy="314325"/>
    <xdr:sp macro="" textlink="">
      <xdr:nvSpPr>
        <xdr:cNvPr id="5" name="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307775" y="3627600"/>
          <a:ext cx="2076450" cy="304800"/>
        </a:xfrm>
        <a:prstGeom prst="snip2SameRect">
          <a:avLst>
            <a:gd name="adj1" fmla="val 16667"/>
            <a:gd name="adj2" fmla="val 0"/>
          </a:avLst>
        </a:prstGeom>
        <a:solidFill>
          <a:schemeClr val="accent3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Lançamento</a:t>
          </a:r>
          <a:endParaRPr sz="1400"/>
        </a:p>
      </xdr:txBody>
    </xdr:sp>
    <xdr:clientData fLocksWithSheet="0"/>
  </xdr:oneCellAnchor>
  <xdr:oneCellAnchor>
    <xdr:from>
      <xdr:col>1</xdr:col>
      <xdr:colOff>2314575</xdr:colOff>
      <xdr:row>6</xdr:row>
      <xdr:rowOff>28575</xdr:rowOff>
    </xdr:from>
    <xdr:ext cx="5276850" cy="1876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712338" y="2846550"/>
          <a:ext cx="5267325" cy="18669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CONTROLE DE ESTOQUES </a:t>
          </a:r>
          <a:br>
            <a:rPr lang="en-US" sz="2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2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SIMPLIFICADO</a:t>
          </a:r>
          <a:endParaRPr sz="1400"/>
        </a:p>
      </xdr:txBody>
    </xdr:sp>
    <xdr:clientData fLocksWithSheet="0"/>
  </xdr:oneCellAnchor>
  <xdr:oneCellAnchor>
    <xdr:from>
      <xdr:col>1</xdr:col>
      <xdr:colOff>1466850</xdr:colOff>
      <xdr:row>16</xdr:row>
      <xdr:rowOff>142875</xdr:rowOff>
    </xdr:from>
    <xdr:ext cx="6962775" cy="2933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869375" y="2317913"/>
          <a:ext cx="6953250" cy="2924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ORIENTAÇÕES:</a:t>
          </a:r>
          <a:b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Cadastrar o produto na aba "Cadastro".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Registrar as entradas e saídas na aba "Lançamentos".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Relatórios e consultas usar os filtros nas abas "Cadastro" e "Lançamentos".</a:t>
          </a:r>
          <a:endParaRPr sz="1400"/>
        </a:p>
      </xdr:txBody>
    </xdr:sp>
    <xdr:clientData fLocksWithSheet="0"/>
  </xdr:oneCellAnchor>
  <xdr:oneCellAnchor>
    <xdr:from>
      <xdr:col>3</xdr:col>
      <xdr:colOff>2505075</xdr:colOff>
      <xdr:row>0</xdr:row>
      <xdr:rowOff>0</xdr:rowOff>
    </xdr:from>
    <xdr:ext cx="3143250" cy="8096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779138" y="3379950"/>
          <a:ext cx="313372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FF0000"/>
              </a:solidFill>
              <a:latin typeface="Arial Black"/>
              <a:ea typeface="Arial Black"/>
              <a:cs typeface="Arial Black"/>
              <a:sym typeface="Arial Black"/>
            </a:rPr>
            <a:t>LOUCOMOTIVA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Controle de estoques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9</xdr:row>
      <xdr:rowOff>123825</xdr:rowOff>
    </xdr:from>
    <xdr:ext cx="3733800" cy="2952750"/>
    <xdr:graphicFrame macro="">
      <xdr:nvGraphicFramePr>
        <xdr:cNvPr id="1707386848" name="Chart 1">
          <a:extLst>
            <a:ext uri="{FF2B5EF4-FFF2-40B4-BE49-F238E27FC236}">
              <a16:creationId xmlns:a16="http://schemas.microsoft.com/office/drawing/2014/main" id="{00000000-0008-0000-0100-0000E0A7C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266700</xdr:colOff>
      <xdr:row>0</xdr:row>
      <xdr:rowOff>142875</xdr:rowOff>
    </xdr:from>
    <xdr:ext cx="2076450" cy="314325"/>
    <xdr:sp macro="" textlink="">
      <xdr:nvSpPr>
        <xdr:cNvPr id="9" name="Shap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312538" y="3627600"/>
          <a:ext cx="2066925" cy="304800"/>
        </a:xfrm>
        <a:prstGeom prst="snip2SameRect">
          <a:avLst>
            <a:gd name="adj1" fmla="val 16667"/>
            <a:gd name="adj2" fmla="val 0"/>
          </a:avLst>
        </a:prstGeom>
        <a:solidFill>
          <a:schemeClr val="accent3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Inicio</a:t>
          </a:r>
          <a:r>
            <a:rPr lang="en-US" sz="1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2447925</xdr:colOff>
      <xdr:row>0</xdr:row>
      <xdr:rowOff>142875</xdr:rowOff>
    </xdr:from>
    <xdr:ext cx="2085975" cy="314325"/>
    <xdr:sp macro="" textlink="">
      <xdr:nvSpPr>
        <xdr:cNvPr id="10" name="Shape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307775" y="3627600"/>
          <a:ext cx="2076450" cy="304800"/>
        </a:xfrm>
        <a:prstGeom prst="snip2SameRect">
          <a:avLst>
            <a:gd name="adj1" fmla="val 16667"/>
            <a:gd name="adj2" fmla="val 0"/>
          </a:avLst>
        </a:prstGeom>
        <a:solidFill>
          <a:srgbClr val="BFBFB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Cadastro</a:t>
          </a:r>
          <a:endParaRPr sz="1400"/>
        </a:p>
      </xdr:txBody>
    </xdr:sp>
    <xdr:clientData fLocksWithSheet="0"/>
  </xdr:oneCellAnchor>
  <xdr:oneCellAnchor>
    <xdr:from>
      <xdr:col>1</xdr:col>
      <xdr:colOff>1905000</xdr:colOff>
      <xdr:row>0</xdr:row>
      <xdr:rowOff>142875</xdr:rowOff>
    </xdr:from>
    <xdr:ext cx="1476375" cy="314325"/>
    <xdr:sp macro="" textlink="">
      <xdr:nvSpPr>
        <xdr:cNvPr id="11" name="Shape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4612575" y="3627600"/>
          <a:ext cx="1466850" cy="304800"/>
        </a:xfrm>
        <a:prstGeom prst="snip2SameRect">
          <a:avLst>
            <a:gd name="adj1" fmla="val 16667"/>
            <a:gd name="adj2" fmla="val 0"/>
          </a:avLst>
        </a:prstGeom>
        <a:solidFill>
          <a:schemeClr val="accent3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Lançamento</a:t>
          </a:r>
          <a:endParaRPr sz="1400"/>
        </a:p>
      </xdr:txBody>
    </xdr:sp>
    <xdr:clientData fLocksWithSheet="0"/>
  </xdr:oneCellAnchor>
  <xdr:oneCellAnchor>
    <xdr:from>
      <xdr:col>3</xdr:col>
      <xdr:colOff>2495550</xdr:colOff>
      <xdr:row>0</xdr:row>
      <xdr:rowOff>0</xdr:rowOff>
    </xdr:from>
    <xdr:ext cx="3143250" cy="8191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779138" y="3375188"/>
          <a:ext cx="3133725" cy="809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FF0000"/>
              </a:solidFill>
              <a:latin typeface="Arial Black"/>
              <a:ea typeface="Arial Black"/>
              <a:cs typeface="Arial Black"/>
              <a:sym typeface="Arial Black"/>
            </a:rPr>
            <a:t>LOUCOMOTIVA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Controle de estoques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152400</xdr:rowOff>
    </xdr:from>
    <xdr:ext cx="2076450" cy="314325"/>
    <xdr:sp macro="" textlink="">
      <xdr:nvSpPr>
        <xdr:cNvPr id="13" name="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312538" y="3627600"/>
          <a:ext cx="2066925" cy="304800"/>
        </a:xfrm>
        <a:prstGeom prst="snip2SameRect">
          <a:avLst>
            <a:gd name="adj1" fmla="val 16667"/>
            <a:gd name="adj2" fmla="val 0"/>
          </a:avLst>
        </a:prstGeom>
        <a:solidFill>
          <a:schemeClr val="accent3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Inicio</a:t>
          </a:r>
          <a:r>
            <a:rPr lang="en-US" sz="1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2447925</xdr:colOff>
      <xdr:row>0</xdr:row>
      <xdr:rowOff>152400</xdr:rowOff>
    </xdr:from>
    <xdr:ext cx="2085975" cy="314325"/>
    <xdr:sp macro="" textlink="">
      <xdr:nvSpPr>
        <xdr:cNvPr id="14" name="Shap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307775" y="3627600"/>
          <a:ext cx="2076450" cy="304800"/>
        </a:xfrm>
        <a:prstGeom prst="snip2SameRect">
          <a:avLst>
            <a:gd name="adj1" fmla="val 16667"/>
            <a:gd name="adj2" fmla="val 0"/>
          </a:avLst>
        </a:prstGeom>
        <a:solidFill>
          <a:srgbClr val="A5A5A5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Cadastro</a:t>
          </a:r>
          <a:endParaRPr sz="1400"/>
        </a:p>
      </xdr:txBody>
    </xdr:sp>
    <xdr:clientData fLocksWithSheet="0"/>
  </xdr:oneCellAnchor>
  <xdr:oneCellAnchor>
    <xdr:from>
      <xdr:col>1</xdr:col>
      <xdr:colOff>1914525</xdr:colOff>
      <xdr:row>0</xdr:row>
      <xdr:rowOff>152400</xdr:rowOff>
    </xdr:from>
    <xdr:ext cx="2085975" cy="3143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307775" y="3627600"/>
          <a:ext cx="2076450" cy="304800"/>
        </a:xfrm>
        <a:prstGeom prst="snip2SameRect">
          <a:avLst>
            <a:gd name="adj1" fmla="val 16667"/>
            <a:gd name="adj2" fmla="val 0"/>
          </a:avLst>
        </a:prstGeom>
        <a:solidFill>
          <a:srgbClr val="BFBFB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Lançamento</a:t>
          </a:r>
          <a:endParaRPr sz="1400"/>
        </a:p>
      </xdr:txBody>
    </xdr:sp>
    <xdr:clientData fLocksWithSheet="0"/>
  </xdr:oneCellAnchor>
  <xdr:oneCellAnchor>
    <xdr:from>
      <xdr:col>3</xdr:col>
      <xdr:colOff>2495550</xdr:colOff>
      <xdr:row>0</xdr:row>
      <xdr:rowOff>0</xdr:rowOff>
    </xdr:from>
    <xdr:ext cx="3143250" cy="8191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779138" y="3375188"/>
          <a:ext cx="3133725" cy="809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FF0000"/>
              </a:solidFill>
              <a:latin typeface="Arial Black"/>
              <a:ea typeface="Arial Black"/>
              <a:cs typeface="Arial Black"/>
              <a:sym typeface="Arial Black"/>
            </a:rPr>
            <a:t>LOUCOMOTIVA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Controle de estoques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F8" totalsRowCount="1">
  <tableColumns count="6">
    <tableColumn id="1" xr3:uid="{00000000-0010-0000-0000-000001000000}" name="PRODUTO_x000a_" totalsRowFunction="custom">
      <totalsRowFormula>SUBTOTAL(103,Cadastro!$A$4:$A$7)</totalsRowFormula>
    </tableColumn>
    <tableColumn id="2" xr3:uid="{00000000-0010-0000-0000-000002000000}" name="MEDIDA_x000a_"/>
    <tableColumn id="3" xr3:uid="{00000000-0010-0000-0000-000003000000}" name="ESTOQUE _x000a_MINIMO" totalsRowFunction="custom">
      <totalsRowFormula>SUBTOTAL(101,Cadastro!$C$4:$C$7)</totalsRowFormula>
    </tableColumn>
    <tableColumn id="4" xr3:uid="{00000000-0010-0000-0000-000004000000}" name="ESTOQUE _x000a_MÁXIMO" totalsRowFunction="custom">
      <totalsRowFormula>SUBTOTAL(101,Cadastro!$D$4:$D$7)</totalsRowFormula>
    </tableColumn>
    <tableColumn id="5" xr3:uid="{00000000-0010-0000-0000-000005000000}" name="SALDO_x000a_"/>
    <tableColumn id="6" xr3:uid="{00000000-0010-0000-0000-000006000000}" name="AVISOS_x000a_" totalsRowFunction="custom">
      <totalsRowFormula>SUBTOTAL(103,Cadastro!$F$4:$F$7)</totalsRowFormula>
    </tableColumn>
  </tableColumns>
  <tableStyleInfo name="Cadastr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E10" totalsRowCount="1">
  <tableColumns count="5">
    <tableColumn id="1" xr3:uid="{00000000-0010-0000-0100-000001000000}" name="PRODUTO_x000a_" totalsRowFunction="custom">
      <totalsRowFormula>SUBTOTAL(103,Lançamento!$A$4:$A$9)</totalsRowFormula>
    </tableColumn>
    <tableColumn id="2" xr3:uid="{00000000-0010-0000-0100-000002000000}" name="DATA_x000a_" totalsRowFunction="custom">
      <totalsRowFormula>SUBTOTAL(103,Lançamento!$B$4:$B$9)</totalsRowFormula>
    </tableColumn>
    <tableColumn id="3" xr3:uid="{00000000-0010-0000-0100-000003000000}" name="ENTRADA_x000a_" totalsRowFunction="custom">
      <totalsRowFormula>SUBTOTAL(109,Lançamento!$C$4:$C$9)</totalsRowFormula>
    </tableColumn>
    <tableColumn id="4" xr3:uid="{00000000-0010-0000-0100-000004000000}" name="SAÍDA_x000a_" totalsRowFunction="custom">
      <totalsRowFormula>SUBTOTAL(109,Lançamento!$D$4:$D$9)</totalsRowFormula>
    </tableColumn>
    <tableColumn id="5" xr3:uid="{00000000-0010-0000-0100-000005000000}" name="SALDO_x000a_"/>
  </tableColumns>
  <tableStyleInfo name="Lançamen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defaultColWidth="14.42578125" defaultRowHeight="15" customHeight="1" x14ac:dyDescent="0.25"/>
  <cols>
    <col min="1" max="2" width="40.7109375" customWidth="1"/>
    <col min="3" max="3" width="43.7109375" customWidth="1"/>
    <col min="4" max="5" width="40.7109375" customWidth="1"/>
    <col min="6" max="6" width="22.7109375" customWidth="1"/>
    <col min="7" max="26" width="8.7109375" customWidth="1"/>
  </cols>
  <sheetData>
    <row r="1" spans="1:26" ht="39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5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x14ac:dyDescent="0.25">
      <c r="A11" s="2"/>
      <c r="B11" s="2"/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2"/>
      <c r="B12" s="2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5">
      <c r="A13" s="2"/>
      <c r="B13" s="2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x14ac:dyDescent="0.25">
      <c r="A14" s="2"/>
      <c r="B14" s="2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ySplit="1" topLeftCell="A2" activePane="bottomLeft" state="frozen"/>
      <selection pane="bottomLeft" activeCell="C1" sqref="C1"/>
    </sheetView>
  </sheetViews>
  <sheetFormatPr defaultColWidth="14.42578125" defaultRowHeight="15" customHeight="1" x14ac:dyDescent="0.25"/>
  <cols>
    <col min="1" max="1" width="40.7109375" customWidth="1"/>
    <col min="2" max="2" width="31.5703125" customWidth="1"/>
    <col min="3" max="5" width="40.7109375" customWidth="1"/>
    <col min="6" max="6" width="35.7109375" customWidth="1"/>
    <col min="7" max="26" width="8.7109375" customWidth="1"/>
  </cols>
  <sheetData>
    <row r="1" spans="1:26" ht="39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5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8" t="s">
        <v>6</v>
      </c>
      <c r="B4" s="8" t="s">
        <v>7</v>
      </c>
      <c r="C4" s="9">
        <v>15</v>
      </c>
      <c r="D4" s="9">
        <v>150</v>
      </c>
      <c r="E4" s="8">
        <f>SUMIF(Lançamento!$A$4:$A$9,Cadastro!$A4,Lançamento!$C$4:$C$9)-SUMIF(Lançamento!$A$4:$A$9,Lançamento!$A4,Lançamento!$D$4:$D$9)</f>
        <v>5</v>
      </c>
      <c r="F4" s="8" t="str">
        <f>IF(Cadastro!$E4&lt;Cadastro!$C4,"Solicitar nova compra!",IF(Cadastro!$E4&gt;Cadastro!$D4,"Priorizar venda!",""))</f>
        <v>Solicitar nova compra!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x14ac:dyDescent="0.25">
      <c r="A5" s="8" t="s">
        <v>8</v>
      </c>
      <c r="B5" s="8" t="s">
        <v>7</v>
      </c>
      <c r="C5" s="9">
        <v>15</v>
      </c>
      <c r="D5" s="9">
        <v>150</v>
      </c>
      <c r="E5" s="8">
        <f>SUMIF(Lançamento!$A$4:$A$9,Cadastro!$A5,Lançamento!$C$4:$C$9)-SUMIF(Lançamento!$A$4:$A$9,Lançamento!$A5,Lançamento!$D$4:$D$9)</f>
        <v>80</v>
      </c>
      <c r="F5" s="10" t="str">
        <f>IF(Cadastro!$E5&lt;Cadastro!$C5,"Solicitar nova compra!",IF(Cadastro!$E5&gt;Cadastro!$D5,"Priorizar venda!",""))</f>
        <v/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x14ac:dyDescent="0.25">
      <c r="A6" s="10" t="s">
        <v>9</v>
      </c>
      <c r="B6" s="10" t="s">
        <v>7</v>
      </c>
      <c r="C6" s="11">
        <v>15</v>
      </c>
      <c r="D6" s="11">
        <v>150</v>
      </c>
      <c r="E6" s="8">
        <f>SUMIF(Lançamento!$A$4:$A$9,Cadastro!$A6,Lançamento!$C$4:$C$9)-SUMIF(Lançamento!$A$4:$A$9,Lançamento!$A6,Lançamento!$D$4:$D$9)</f>
        <v>165</v>
      </c>
      <c r="F6" s="10" t="str">
        <f>IF(Cadastro!$E6&lt;Cadastro!$C6,"Solicitar nova compra!",IF(Cadastro!$E6&gt;Cadastro!$D6,"Priorizar venda!",""))</f>
        <v>Priorizar venda!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x14ac:dyDescent="0.25">
      <c r="A7" s="10" t="s">
        <v>10</v>
      </c>
      <c r="B7" s="10" t="s">
        <v>7</v>
      </c>
      <c r="C7" s="11">
        <v>15</v>
      </c>
      <c r="D7" s="11">
        <v>150</v>
      </c>
      <c r="E7" s="8">
        <f>SUMIF(Lançamento!$A$4:$A$9,Cadastro!$A7,Lançamento!$C$4:$C$9)-SUMIF(Lançamento!$A$4:$A$9,Lançamento!$A7,Lançamento!$D$4:$D$9)</f>
        <v>45</v>
      </c>
      <c r="F7" s="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2">
        <f>SUBTOTAL(103,Cadastro!$A$4:$A$7)</f>
        <v>4</v>
      </c>
      <c r="B8" s="12"/>
      <c r="C8" s="13">
        <f>SUBTOTAL(101,Cadastro!$C$4:$C$7)</f>
        <v>15</v>
      </c>
      <c r="D8" s="13">
        <f>SUBTOTAL(101,Cadastro!$D$4:$D$7)</f>
        <v>150</v>
      </c>
      <c r="E8" s="12"/>
      <c r="F8" s="12">
        <f>SUBTOTAL(103,Cadastro!$F$4:$F$7)</f>
        <v>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5">
      <c r="A9" s="14"/>
      <c r="B9" s="2"/>
      <c r="C9" s="11"/>
      <c r="D9" s="11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15"/>
      <c r="D10" s="1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15"/>
      <c r="D11" s="1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15"/>
      <c r="D12" s="1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15"/>
      <c r="D13" s="1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15"/>
      <c r="D14" s="1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15"/>
      <c r="D15" s="1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15"/>
      <c r="D16" s="1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15"/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15"/>
      <c r="D18" s="1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15"/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15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15"/>
      <c r="D21" s="1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F4:F7">
    <cfRule type="cellIs" dxfId="1" priority="1" operator="equal">
      <formula>"Priorizar venda!"</formula>
    </cfRule>
    <cfRule type="cellIs" dxfId="0" priority="2" operator="equal">
      <formula>"Solicitar nova compra!"</formula>
    </cfRule>
  </conditionalFormatting>
  <dataValidations count="1">
    <dataValidation type="list" allowBlank="1" showErrorMessage="1" sqref="A4:A7 A9" xr:uid="{00000000-0002-0000-0100-000000000000}">
      <formula1>Colunaprodutos</formula1>
    </dataValidation>
  </dataValidations>
  <pageMargins left="0.511811024" right="0.511811024" top="0.78740157499999996" bottom="0.78740157499999996" header="0" footer="0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4.42578125" defaultRowHeight="15" customHeight="1" x14ac:dyDescent="0.25"/>
  <cols>
    <col min="1" max="5" width="40.7109375" customWidth="1"/>
    <col min="6" max="6" width="22.7109375" customWidth="1"/>
    <col min="7" max="26" width="8.7109375" customWidth="1"/>
  </cols>
  <sheetData>
    <row r="1" spans="1:26" ht="39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x14ac:dyDescent="0.25">
      <c r="A3" s="16" t="s">
        <v>0</v>
      </c>
      <c r="B3" s="17" t="s">
        <v>11</v>
      </c>
      <c r="C3" s="18" t="s">
        <v>12</v>
      </c>
      <c r="D3" s="19" t="s">
        <v>13</v>
      </c>
      <c r="E3" s="16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0" t="s">
        <v>8</v>
      </c>
      <c r="B4" s="20">
        <v>45479</v>
      </c>
      <c r="C4" s="11">
        <v>30</v>
      </c>
      <c r="D4" s="11">
        <v>5</v>
      </c>
      <c r="E4" s="11">
        <f>SUMIFS(Lançamento!$C$4:$C$9,Lançamento!$A$4:$A$9,Lançamento!$A4,Lançamento!$B$4:$B$9,"&lt;="&amp;Lançamento!$B4)-SUMIFS(Lançamento!$D$4:$D$9,Lançamento!$A$4:$A$9,Lançamento!$A4,Lançamento!$B$4:$B$9,"&lt;="&amp;Lançamento!$B4)</f>
        <v>25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0" t="s">
        <v>6</v>
      </c>
      <c r="B5" s="20">
        <v>45493</v>
      </c>
      <c r="C5" s="11">
        <v>20</v>
      </c>
      <c r="D5" s="11">
        <v>10</v>
      </c>
      <c r="E5" s="11">
        <f>SUMIFS(Lançamento!$C$4:$C$9,Lançamento!$A$4:$A$9,Lançamento!$A5,Lançamento!$B$4:$B$9,"&lt;="&amp;Lançamento!$B5)-SUMIFS(Lançamento!$D$4:$D$9,Lançamento!$A$4:$A$9,Lançamento!$A5,Lançamento!$B$4:$B$9,"&lt;="&amp;Lançamento!$B5)</f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0" t="s">
        <v>8</v>
      </c>
      <c r="B6" s="20">
        <v>45493</v>
      </c>
      <c r="C6" s="11">
        <v>10</v>
      </c>
      <c r="D6" s="11">
        <v>5</v>
      </c>
      <c r="E6" s="11">
        <f>SUMIFS(Lançamento!$C$4:$C$9,Lançamento!$A$4:$A$9,Lançamento!$A6,Lançamento!$B$4:$B$9,"&lt;="&amp;Lançamento!$B6)-SUMIFS(Lançamento!$D$4:$D$9,Lançamento!$A$4:$A$9,Lançamento!$A6,Lançamento!$B$4:$B$9,"&lt;="&amp;Lançamento!$B6)</f>
        <v>30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0" t="s">
        <v>9</v>
      </c>
      <c r="B7" s="20">
        <v>45503</v>
      </c>
      <c r="C7" s="11">
        <v>180</v>
      </c>
      <c r="D7" s="11">
        <v>5</v>
      </c>
      <c r="E7" s="11">
        <f>SUMIFS(Lançamento!$C$4:$C$9,Lançamento!$A$4:$A$9,Lançamento!$A7,Lançamento!$B$4:$B$9,"&lt;="&amp;Lançamento!$B7)-SUMIFS(Lançamento!$D$4:$D$9,Lançamento!$A$4:$A$9,Lançamento!$A7,Lançamento!$B$4:$B$9,"&lt;="&amp;Lançamento!$B7)</f>
        <v>175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8</v>
      </c>
      <c r="B8" s="20">
        <v>45503</v>
      </c>
      <c r="C8" s="11">
        <v>50</v>
      </c>
      <c r="D8" s="11">
        <v>5</v>
      </c>
      <c r="E8" s="11">
        <f>SUMIFS(Lançamento!$C$4:$C$9,Lançamento!$A$4:$A$9,Lançamento!$A8,Lançamento!$B$4:$B$9,"&lt;="&amp;Lançamento!$B8)-SUMIFS(Lançamento!$D$4:$D$9,Lançamento!$A$4:$A$9,Lançamento!$A8,Lançamento!$B$4:$B$9,"&lt;="&amp;Lançamento!$B8)</f>
        <v>75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0" t="s">
        <v>10</v>
      </c>
      <c r="B9" s="20">
        <v>45503</v>
      </c>
      <c r="C9" s="11">
        <v>50</v>
      </c>
      <c r="D9" s="11">
        <v>5</v>
      </c>
      <c r="E9" s="11">
        <f>SUMIFS(Lançamento!$C$4:$C$9,Lançamento!$A$4:$A$9,Lançamento!$A9,Lançamento!$B$4:$B$9,"&lt;="&amp;Lançamento!$B9)-SUMIFS(Lançamento!$D$4:$D$9,Lançamento!$A$4:$A$9,Lançamento!$A9,Lançamento!$B$4:$B$9,"&lt;="&amp;Lançamento!$B9)</f>
        <v>45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0">
        <f>SUBTOTAL(103,Lançamento!$A$4:$A$9)</f>
        <v>6</v>
      </c>
      <c r="B10" s="10">
        <f>SUBTOTAL(103,Lançamento!$B$4:$B$9)</f>
        <v>6</v>
      </c>
      <c r="C10" s="11">
        <f>SUBTOTAL(109,Lançamento!$C$4:$C$9)</f>
        <v>340</v>
      </c>
      <c r="D10" s="11">
        <f>SUBTOTAL(109,Lançamento!$D$4:$D$9)</f>
        <v>35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1"/>
      <c r="C11" s="15"/>
      <c r="D11" s="1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1"/>
      <c r="C12" s="15"/>
      <c r="D12" s="1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1"/>
      <c r="C13" s="15"/>
      <c r="D13" s="1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1"/>
      <c r="C14" s="15"/>
      <c r="D14" s="1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1"/>
      <c r="C15" s="15"/>
      <c r="D15" s="1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1"/>
      <c r="C16" s="15"/>
      <c r="D16" s="1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1"/>
      <c r="C17" s="15"/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1"/>
      <c r="C18" s="15"/>
      <c r="D18" s="1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1"/>
      <c r="C19" s="15"/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1"/>
      <c r="C20" s="15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Início</vt:lpstr>
      <vt:lpstr>Cadastro</vt:lpstr>
      <vt:lpstr>Lançamento</vt:lpstr>
      <vt:lpstr>Colunaprodutos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Alves</dc:creator>
  <cp:lastModifiedBy>mark alves</cp:lastModifiedBy>
  <dcterms:created xsi:type="dcterms:W3CDTF">2024-07-02T20:25:39Z</dcterms:created>
  <dcterms:modified xsi:type="dcterms:W3CDTF">2026-01-15T02:37:26Z</dcterms:modified>
</cp:coreProperties>
</file>