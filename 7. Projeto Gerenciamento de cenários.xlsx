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28060817-3F92-4C4E-A3F7-94E1E6F8919E}" xr6:coauthVersionLast="47" xr6:coauthVersionMax="47" xr10:uidLastSave="{00000000-0000-0000-0000-000000000000}"/>
  <bookViews>
    <workbookView xWindow="20370" yWindow="-4815" windowWidth="29040" windowHeight="15840" activeTab="1" xr2:uid="{4430C8C5-1BA6-4289-86B7-BC19EE26AF37}"/>
  </bookViews>
  <sheets>
    <sheet name="Resumo do cenário" sheetId="2" r:id="rId1"/>
    <sheet name="Cenár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12" i="1" s="1"/>
  <c r="F11" i="1" l="1"/>
  <c r="F13" i="1" s="1"/>
</calcChain>
</file>

<file path=xl/sharedStrings.xml><?xml version="1.0" encoding="utf-8"?>
<sst xmlns="http://schemas.openxmlformats.org/spreadsheetml/2006/main" count="32" uniqueCount="30">
  <si>
    <t>GERENCIADOR DE CENÁRIOS</t>
  </si>
  <si>
    <t>Público estimado</t>
  </si>
  <si>
    <t>RESULTADO DE EVENTOS</t>
  </si>
  <si>
    <t>Preço do ingresso</t>
  </si>
  <si>
    <t>PLANILHA DE RESULTADO DO EVENTO</t>
  </si>
  <si>
    <t>Receita Total</t>
  </si>
  <si>
    <t>Especificação</t>
  </si>
  <si>
    <t>R$</t>
  </si>
  <si>
    <t>(-) Cachê das atrações</t>
  </si>
  <si>
    <t>Cachê das atrações</t>
  </si>
  <si>
    <t>(-) Seguranças</t>
  </si>
  <si>
    <t>(-) Locação</t>
  </si>
  <si>
    <t>(-) Outras despesas</t>
  </si>
  <si>
    <t>(=) Resultado</t>
  </si>
  <si>
    <t>Variáveis</t>
  </si>
  <si>
    <r>
      <t xml:space="preserve">GERENCIAMENTO DE CENÁRIOS
</t>
    </r>
    <r>
      <rPr>
        <sz val="12"/>
        <color theme="1"/>
        <rFont val="Calibri Light"/>
        <family val="2"/>
        <scheme val="major"/>
      </rPr>
      <t>Ferramentas de análise</t>
    </r>
  </si>
  <si>
    <t>$C$7</t>
  </si>
  <si>
    <t>$C$8</t>
  </si>
  <si>
    <t>$F$13</t>
  </si>
  <si>
    <t>Cenário1</t>
  </si>
  <si>
    <t>Criado por Mark Alves em 29/10/2024</t>
  </si>
  <si>
    <t>Cenário2</t>
  </si>
  <si>
    <t>Cenário3</t>
  </si>
  <si>
    <t>Resumo do cenário</t>
  </si>
  <si>
    <t>Células variáveis:</t>
  </si>
  <si>
    <t>Valores atuais:</t>
  </si>
  <si>
    <t>Células de resultado:</t>
  </si>
  <si>
    <t>Observações: A coluna Valores atuais representa os valores das células</t>
  </si>
  <si>
    <t>variáveis no momento em que o Relatório de Resumo do Cenário foi criado.</t>
  </si>
  <si>
    <t>As células variáveis para cada cenário estão destacadas em cinza.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</si>
</sst>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Calibri Light"/>
      <family val="2"/>
      <scheme val="maj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43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0" fontId="0" fillId="0" borderId="1" xfId="1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0" fontId="2" fillId="0" borderId="1" xfId="1" applyNumberFormat="1" applyFont="1" applyBorder="1" applyAlignment="1">
      <alignment horizontal="right" vertical="center"/>
    </xf>
    <xf numFmtId="0" fontId="0" fillId="2" borderId="0" xfId="0" applyFill="1" applyAlignment="1">
      <alignment vertical="center"/>
    </xf>
    <xf numFmtId="43" fontId="0" fillId="2" borderId="0" xfId="1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43" fontId="0" fillId="2" borderId="3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43" fontId="0" fillId="2" borderId="1" xfId="1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40" fontId="0" fillId="0" borderId="0" xfId="0" applyNumberFormat="1"/>
    <xf numFmtId="1" fontId="0" fillId="0" borderId="0" xfId="0" applyNumberFormat="1"/>
    <xf numFmtId="40" fontId="0" fillId="0" borderId="5" xfId="0" applyNumberFormat="1" applyBorder="1"/>
    <xf numFmtId="0" fontId="5" fillId="3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0" borderId="7" xfId="0" applyBorder="1"/>
    <xf numFmtId="0" fontId="6" fillId="4" borderId="0" xfId="0" applyFont="1" applyFill="1" applyAlignment="1">
      <alignment horizontal="left"/>
    </xf>
    <xf numFmtId="0" fontId="7" fillId="4" borderId="7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40" fontId="0" fillId="5" borderId="0" xfId="0" applyNumberFormat="1" applyFill="1"/>
    <xf numFmtId="1" fontId="0" fillId="5" borderId="0" xfId="0" applyNumberFormat="1" applyFill="1"/>
    <xf numFmtId="0" fontId="9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5BE-8D67-4569-A6B6-2B650ACF4A73}">
  <sheetPr>
    <outlinePr summaryBelow="0"/>
  </sheetPr>
  <dimension ref="B1:G12"/>
  <sheetViews>
    <sheetView showGridLines="0" workbookViewId="0">
      <selection activeCell="G15" sqref="G15"/>
    </sheetView>
  </sheetViews>
  <sheetFormatPr defaultRowHeight="15" outlineLevelRow="1" outlineLevelCol="1" x14ac:dyDescent="0.25"/>
  <cols>
    <col min="3" max="3" width="6" bestFit="1" customWidth="1"/>
    <col min="4" max="7" width="12.85546875" bestFit="1" customWidth="1" outlineLevel="1"/>
  </cols>
  <sheetData>
    <row r="1" spans="2:7" ht="15.75" thickBot="1" x14ac:dyDescent="0.3"/>
    <row r="2" spans="2:7" ht="15.75" x14ac:dyDescent="0.25">
      <c r="B2" s="20" t="s">
        <v>23</v>
      </c>
      <c r="C2" s="20"/>
      <c r="D2" s="25"/>
      <c r="E2" s="25"/>
      <c r="F2" s="25"/>
      <c r="G2" s="25"/>
    </row>
    <row r="3" spans="2:7" ht="15.75" collapsed="1" x14ac:dyDescent="0.25">
      <c r="B3" s="19"/>
      <c r="C3" s="19"/>
      <c r="D3" s="26" t="s">
        <v>25</v>
      </c>
      <c r="E3" s="26" t="s">
        <v>19</v>
      </c>
      <c r="F3" s="26" t="s">
        <v>21</v>
      </c>
      <c r="G3" s="26" t="s">
        <v>22</v>
      </c>
    </row>
    <row r="4" spans="2:7" ht="33.75" hidden="1" outlineLevel="1" x14ac:dyDescent="0.25">
      <c r="B4" s="22"/>
      <c r="C4" s="22"/>
      <c r="E4" s="29" t="s">
        <v>20</v>
      </c>
      <c r="F4" s="29" t="s">
        <v>20</v>
      </c>
      <c r="G4" s="29" t="s">
        <v>20</v>
      </c>
    </row>
    <row r="5" spans="2:7" x14ac:dyDescent="0.25">
      <c r="B5" s="23" t="s">
        <v>24</v>
      </c>
      <c r="C5" s="23"/>
      <c r="D5" s="21"/>
      <c r="E5" s="21"/>
      <c r="F5" s="21"/>
      <c r="G5" s="21"/>
    </row>
    <row r="6" spans="2:7" outlineLevel="1" x14ac:dyDescent="0.25">
      <c r="B6" s="22"/>
      <c r="C6" s="22" t="s">
        <v>16</v>
      </c>
      <c r="D6" s="16">
        <v>150</v>
      </c>
      <c r="E6" s="27">
        <v>200</v>
      </c>
      <c r="F6" s="27">
        <v>300</v>
      </c>
      <c r="G6" s="27">
        <v>400</v>
      </c>
    </row>
    <row r="7" spans="2:7" outlineLevel="1" x14ac:dyDescent="0.25">
      <c r="B7" s="22"/>
      <c r="C7" s="22" t="s">
        <v>17</v>
      </c>
      <c r="D7" s="17">
        <v>100</v>
      </c>
      <c r="E7" s="28">
        <v>100</v>
      </c>
      <c r="F7" s="28">
        <v>100</v>
      </c>
      <c r="G7" s="28">
        <v>100</v>
      </c>
    </row>
    <row r="8" spans="2:7" x14ac:dyDescent="0.25">
      <c r="B8" s="23" t="s">
        <v>26</v>
      </c>
      <c r="C8" s="23"/>
      <c r="D8" s="21"/>
      <c r="E8" s="21"/>
      <c r="F8" s="21"/>
      <c r="G8" s="21"/>
    </row>
    <row r="9" spans="2:7" ht="15.75" outlineLevel="1" thickBot="1" x14ac:dyDescent="0.3">
      <c r="B9" s="24"/>
      <c r="C9" s="24" t="s">
        <v>18</v>
      </c>
      <c r="D9" s="18">
        <v>-9300</v>
      </c>
      <c r="E9" s="18">
        <v>-9300</v>
      </c>
      <c r="F9" s="18">
        <v>350</v>
      </c>
      <c r="G9" s="18">
        <v>10000</v>
      </c>
    </row>
    <row r="10" spans="2:7" x14ac:dyDescent="0.25">
      <c r="B10" t="s">
        <v>27</v>
      </c>
    </row>
    <row r="11" spans="2:7" x14ac:dyDescent="0.25">
      <c r="B11" t="s">
        <v>28</v>
      </c>
    </row>
    <row r="12" spans="2:7" x14ac:dyDescent="0.25">
      <c r="B12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CA7F-77A9-4D19-B255-A1F58F239FD6}">
  <dimension ref="B1:F14"/>
  <sheetViews>
    <sheetView showGridLines="0" tabSelected="1" workbookViewId="0">
      <selection activeCell="D15" sqref="D15"/>
    </sheetView>
  </sheetViews>
  <sheetFormatPr defaultRowHeight="15" x14ac:dyDescent="0.25"/>
  <cols>
    <col min="1" max="1" width="9.140625" style="1"/>
    <col min="2" max="2" width="22.7109375" style="1" customWidth="1"/>
    <col min="3" max="3" width="15.7109375" style="1" customWidth="1"/>
    <col min="4" max="4" width="9.140625" style="1"/>
    <col min="5" max="5" width="26.5703125" style="1" customWidth="1"/>
    <col min="6" max="6" width="15.7109375" style="2" customWidth="1"/>
    <col min="7" max="16384" width="9.140625" style="1"/>
  </cols>
  <sheetData>
    <row r="1" spans="2:6" s="9" customFormat="1" ht="39.950000000000003" customHeight="1" x14ac:dyDescent="0.25">
      <c r="B1" s="30" t="s">
        <v>15</v>
      </c>
      <c r="C1" s="30"/>
      <c r="F1" s="10"/>
    </row>
    <row r="3" spans="2:6" x14ac:dyDescent="0.25">
      <c r="B3" s="3" t="s">
        <v>0</v>
      </c>
    </row>
    <row r="4" spans="2:6" x14ac:dyDescent="0.25">
      <c r="B4" s="1" t="s">
        <v>2</v>
      </c>
    </row>
    <row r="6" spans="2:6" x14ac:dyDescent="0.25">
      <c r="B6" s="11" t="s">
        <v>14</v>
      </c>
      <c r="C6" s="15"/>
      <c r="E6" s="11" t="s">
        <v>4</v>
      </c>
      <c r="F6" s="12"/>
    </row>
    <row r="7" spans="2:6" ht="20.100000000000001" customHeight="1" x14ac:dyDescent="0.25">
      <c r="B7" s="4" t="s">
        <v>3</v>
      </c>
      <c r="C7" s="5">
        <v>150</v>
      </c>
      <c r="E7" s="13" t="s">
        <v>6</v>
      </c>
      <c r="F7" s="14" t="s">
        <v>7</v>
      </c>
    </row>
    <row r="8" spans="2:6" ht="20.100000000000001" customHeight="1" x14ac:dyDescent="0.25">
      <c r="B8" s="4" t="s">
        <v>1</v>
      </c>
      <c r="C8" s="6">
        <v>100</v>
      </c>
      <c r="E8" s="4" t="s">
        <v>5</v>
      </c>
      <c r="F8" s="5">
        <f>C7*C8</f>
        <v>15000</v>
      </c>
    </row>
    <row r="9" spans="2:6" ht="20.100000000000001" customHeight="1" x14ac:dyDescent="0.25">
      <c r="B9" s="4" t="s">
        <v>9</v>
      </c>
      <c r="C9" s="5">
        <v>25000</v>
      </c>
      <c r="E9" s="4" t="s">
        <v>8</v>
      </c>
      <c r="F9" s="5">
        <f>C9</f>
        <v>25000</v>
      </c>
    </row>
    <row r="10" spans="2:6" ht="20.100000000000001" customHeight="1" x14ac:dyDescent="0.25">
      <c r="E10" s="4" t="s">
        <v>10</v>
      </c>
      <c r="F10" s="5">
        <f>200*INT(C8/30)</f>
        <v>600</v>
      </c>
    </row>
    <row r="11" spans="2:6" ht="20.100000000000001" customHeight="1" x14ac:dyDescent="0.25">
      <c r="E11" s="4" t="s">
        <v>11</v>
      </c>
      <c r="F11" s="5">
        <f>3000+(F8*1%)</f>
        <v>3150</v>
      </c>
    </row>
    <row r="12" spans="2:6" ht="20.100000000000001" customHeight="1" x14ac:dyDescent="0.25">
      <c r="E12" s="4" t="s">
        <v>12</v>
      </c>
      <c r="F12" s="5">
        <f>F8*2.5%</f>
        <v>375</v>
      </c>
    </row>
    <row r="13" spans="2:6" ht="20.100000000000001" customHeight="1" x14ac:dyDescent="0.25">
      <c r="E13" s="7" t="s">
        <v>13</v>
      </c>
      <c r="F13" s="8">
        <f>F8-SUM(F9:F12)</f>
        <v>-14125</v>
      </c>
    </row>
    <row r="14" spans="2:6" ht="20.100000000000001" customHeight="1" x14ac:dyDescent="0.25">
      <c r="F14" s="1"/>
    </row>
  </sheetData>
  <scenarios current="0" show="0" sqref="F13">
    <scenario name="Cenário1" locked="1" count="2" user="Mark Alves" comment="Criado por Mark Alves em 29/10/2024">
      <inputCells r="C7" val="200" numFmtId="40"/>
      <inputCells r="C8" val="100" numFmtId="1"/>
    </scenario>
    <scenario name="Cenário2" locked="1" count="2" user="Mark Alves" comment="Criado por Mark Alves em 29/10/2024">
      <inputCells r="C7" val="300" numFmtId="40"/>
      <inputCells r="C8" val="100" numFmtId="1"/>
    </scenario>
    <scenario name="Cenário3" locked="1" count="2" user="Mark Alves" comment="Criado por Mark Alves em 29/10/2024">
      <inputCells r="C7" val="400" numFmtId="40"/>
      <inputCells r="C8" val="100" numFmtId="1"/>
    </scenario>
  </scenarios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do cenário</vt:lpstr>
      <vt:lpstr>Cenários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mark alves</cp:lastModifiedBy>
  <dcterms:created xsi:type="dcterms:W3CDTF">2019-04-18T21:32:53Z</dcterms:created>
  <dcterms:modified xsi:type="dcterms:W3CDTF">2026-01-15T02:37:28Z</dcterms:modified>
</cp:coreProperties>
</file>